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" sheetId="2" state="visible" r:id="rId4"/>
    <sheet name="Salidas_REM" sheetId="3" state="visible" r:id="rId5"/>
    <sheet name="Consolidado_REM" sheetId="4" state="visible" r:id="rId6"/>
    <sheet name="Programacion_Cobertura" sheetId="5" state="visible" r:id="rId7"/>
    <sheet name="Reglas" sheetId="6" state="visible" r:id="rId8"/>
  </sheets>
  <definedNames>
    <definedName function="false" hidden="true" localSheetId="3" name="_xlnm._FilterDatabase" vbProcedure="false">Consolidado_REM!$A$3:$F$923</definedName>
    <definedName function="false" hidden="true" localSheetId="4" name="_xlnm._FilterDatabase" vbProcedure="false">Programacion_Cobertura!$A$1:$I$401</definedName>
    <definedName function="false" hidden="true" localSheetId="5" name="_xlnm._FilterDatabase" vbProcedure="false">Reglas!$A$1:$G$921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<sst xmlns="http://schemas.openxmlformats.org/spreadsheetml/2006/main" count="11358" uniqueCount="1057">
  <si>
    <t xml:space="preserve">Registro de actividades grupales · CESFAM N°5 (prototipo)</t>
  </si>
  <si>
    <t xml:space="preserve">Esta planilla es la base de datos del formulario web. Al subirla a Google Drive se abre como Google Sheets.</t>
  </si>
  <si>
    <t xml:space="preserve">Pestañas</t>
  </si>
  <si>
    <t xml:space="preserve">Registro: una fila por actividad, identificada por su código (ej. C5-2610-K7Q3). La llena el formulario; no se edita a mano.</t>
  </si>
  <si>
    <t xml:space="preserve">Salidas_REM: una fila por cada celda del REM que alimenta cada actividad realizada. También la llena el formulario.</t>
  </si>
  <si>
    <t xml:space="preserve">Consolidado_REM: escriba el mes en la celda amarilla B1 (formato AAAA-MM). Muestra el total por celda del REM. Use el filtro de la columna Valor para ver solo las celdas con datos.</t>
  </si>
  <si>
    <t xml:space="preserve">Programacion_Cobertura: lista todas las actividades con meta, logrado y cumplimiento. Filtre por la columna Mes.</t>
  </si>
  <si>
    <t xml:space="preserve">Reglas: catálogo de las celdas del REM que usa la herramienta, con su regla. Columna 'Validación' para que el equipo de estadística la revise.</t>
  </si>
  <si>
    <t xml:space="preserve">Datos de ejemplo</t>
  </si>
  <si>
    <t xml:space="preserve">Las filas actuales son ficticias (octubre y noviembre 2026) y sirven para mostrar el funcionamiento. Bórrelas de Registro y Salidas_REM antes de usar la planilla en serio.</t>
  </si>
  <si>
    <t xml:space="preserve">Fuente de coordenadas</t>
  </si>
  <si>
    <t xml:space="preserve">Celdas tomadas del archivo SA_26_V1_2_FEB_26.xlsm (REM Serie A 2026), hojas A19a, A19b y A27. Si el MINSAL cambia la versión del REM, hay que revisar la pestaña Reglas y el archivo del formulario.</t>
  </si>
  <si>
    <t xml:space="preserve">Conexión con el formulario</t>
  </si>
  <si>
    <t xml:space="preserve">Extensiones &gt; Apps Script &gt; pegue el contenido de Code.gs &gt; Implementar &gt; Nueva implementación &gt; Aplicación web (acceso: cualquier persona con el enlace). Copie la URL en la constante ENDPOINT de index.html.</t>
  </si>
  <si>
    <t xml:space="preserve">codigo</t>
  </si>
  <si>
    <t xml:space="preserve">fecha</t>
  </si>
  <si>
    <t xml:space="preserve">mes</t>
  </si>
  <si>
    <t xml:space="preserve">estado</t>
  </si>
  <si>
    <t xml:space="preserve">nombre</t>
  </si>
  <si>
    <t xml:space="preserve">responsable</t>
  </si>
  <si>
    <t xml:space="preserve">equipo</t>
  </si>
  <si>
    <t xml:space="preserve">tipo</t>
  </si>
  <si>
    <t xml:space="preserve">sesiones</t>
  </si>
  <si>
    <t xml:space="preserve">hombres</t>
  </si>
  <si>
    <t xml:space="preserve">mujeres</t>
  </si>
  <si>
    <t xml:space="preserve">total</t>
  </si>
  <si>
    <t xml:space="preserve">pueblos_originarios</t>
  </si>
  <si>
    <t xml:space="preserve">migrantes</t>
  </si>
  <si>
    <t xml:space="preserve">prais</t>
  </si>
  <si>
    <t xml:space="preserve">trans_masc</t>
  </si>
  <si>
    <t xml:space="preserve">trans_fem</t>
  </si>
  <si>
    <t xml:space="preserve">no_binarie</t>
  </si>
  <si>
    <t xml:space="preserve">no_revelado</t>
  </si>
  <si>
    <t xml:space="preserve">meta</t>
  </si>
  <si>
    <t xml:space="preserve">observaciones</t>
  </si>
  <si>
    <t xml:space="preserve">actualizado</t>
  </si>
  <si>
    <t xml:space="preserve">C5-2610-K7Q3</t>
  </si>
  <si>
    <t xml:space="preserve">2026-10-03</t>
  </si>
  <si>
    <t xml:space="preserve">2026-10</t>
  </si>
  <si>
    <t xml:space="preserve">Realizada</t>
  </si>
  <si>
    <t xml:space="preserve">Feria de salud en la plaza</t>
  </si>
  <si>
    <t xml:space="preserve">Equipo promoción</t>
  </si>
  <si>
    <t xml:space="preserve">Promoción de la salud</t>
  </si>
  <si>
    <t xml:space="preserve">Promoción o educación grupal</t>
  </si>
  <si>
    <t xml:space="preserve">Dato ficticio de ejemplo</t>
  </si>
  <si>
    <t xml:space="preserve">C5-2610-M2XW</t>
  </si>
  <si>
    <t xml:space="preserve">2026-10-08</t>
  </si>
  <si>
    <t xml:space="preserve">Educación grupal alimentación saludable</t>
  </si>
  <si>
    <t xml:space="preserve">Nutricionista sector 2</t>
  </si>
  <si>
    <t xml:space="preserve">Programa cardiovascular</t>
  </si>
  <si>
    <t xml:space="preserve">C5-2610-P9DH</t>
  </si>
  <si>
    <t xml:space="preserve">2026-10-10</t>
  </si>
  <si>
    <t xml:space="preserve">Taller Yo me cuido</t>
  </si>
  <si>
    <t xml:space="preserve">Psicóloga</t>
  </si>
  <si>
    <t xml:space="preserve">Salud mental</t>
  </si>
  <si>
    <t xml:space="preserve">Taller de Vida Sana</t>
  </si>
  <si>
    <t xml:space="preserve">C5-2610-T4RB</t>
  </si>
  <si>
    <t xml:space="preserve">2026-10-15</t>
  </si>
  <si>
    <t xml:space="preserve">Reunión mesa territorial Estación Central</t>
  </si>
  <si>
    <t xml:space="preserve">Trabajador social</t>
  </si>
  <si>
    <t xml:space="preserve">Participación social</t>
  </si>
  <si>
    <t xml:space="preserve">C5-2610-W8NA</t>
  </si>
  <si>
    <t xml:space="preserve">2026-10-22</t>
  </si>
  <si>
    <t xml:space="preserve">Trawün de salud intercultural</t>
  </si>
  <si>
    <t xml:space="preserve">Facilitadora intercultural</t>
  </si>
  <si>
    <t xml:space="preserve">PESPI</t>
  </si>
  <si>
    <t xml:space="preserve">C5-2610-H3ZJ</t>
  </si>
  <si>
    <t xml:space="preserve">2026-10-24</t>
  </si>
  <si>
    <t xml:space="preserve">Preparación material taller climaterio</t>
  </si>
  <si>
    <t xml:space="preserve">Matrona</t>
  </si>
  <si>
    <t xml:space="preserve">Salud de la mujer</t>
  </si>
  <si>
    <t xml:space="preserve">Actividad de gestión</t>
  </si>
  <si>
    <t xml:space="preserve">C5-2611-B6FU</t>
  </si>
  <si>
    <t xml:space="preserve">2026-11-12</t>
  </si>
  <si>
    <t xml:space="preserve">2026-11</t>
  </si>
  <si>
    <t xml:space="preserve">Programada</t>
  </si>
  <si>
    <t xml:space="preserve">Cuenta pública participativa 2026</t>
  </si>
  <si>
    <t xml:space="preserve">Dirección</t>
  </si>
  <si>
    <t xml:space="preserve">C5-2611-R5CY</t>
  </si>
  <si>
    <t xml:space="preserve">2026-11-05</t>
  </si>
  <si>
    <t xml:space="preserve">Taller de prevención de caídas</t>
  </si>
  <si>
    <t xml:space="preserve">Kinesiólogo</t>
  </si>
  <si>
    <t xml:space="preserve">Más Adultos Mayores Autovalentes</t>
  </si>
  <si>
    <t xml:space="preserve">hoja</t>
  </si>
  <si>
    <t xml:space="preserve">seccion</t>
  </si>
  <si>
    <t xml:space="preserve">celda</t>
  </si>
  <si>
    <t xml:space="preserve">fila</t>
  </si>
  <si>
    <t xml:space="preserve">columna</t>
  </si>
  <si>
    <t xml:space="preserve">valor</t>
  </si>
  <si>
    <t xml:space="preserve">A19a</t>
  </si>
  <si>
    <t xml:space="preserve">B.1</t>
  </si>
  <si>
    <t xml:space="preserve">D129</t>
  </si>
  <si>
    <t xml:space="preserve">Evento masivo · Comunas, comunidades</t>
  </si>
  <si>
    <t xml:space="preserve">Actividad física</t>
  </si>
  <si>
    <t xml:space="preserve">O129</t>
  </si>
  <si>
    <t xml:space="preserve">Total participantes</t>
  </si>
  <si>
    <t xml:space="preserve">E144</t>
  </si>
  <si>
    <t xml:space="preserve">Educación grupal · Comunas, comunidades</t>
  </si>
  <si>
    <t xml:space="preserve">Alimentación</t>
  </si>
  <si>
    <t xml:space="preserve">O144</t>
  </si>
  <si>
    <t xml:space="preserve">A27</t>
  </si>
  <si>
    <t xml:space="preserve">B</t>
  </si>
  <si>
    <t xml:space="preserve">E84</t>
  </si>
  <si>
    <t xml:space="preserve">Otras áreas temáticas</t>
  </si>
  <si>
    <t xml:space="preserve">Un profesional</t>
  </si>
  <si>
    <t xml:space="preserve">B.2</t>
  </si>
  <si>
    <t xml:space="preserve">F154</t>
  </si>
  <si>
    <t xml:space="preserve">Establecimientos de educación</t>
  </si>
  <si>
    <t xml:space="preserve">Yo me cuido</t>
  </si>
  <si>
    <t xml:space="preserve">A19b</t>
  </si>
  <si>
    <t xml:space="preserve">H65</t>
  </si>
  <si>
    <t xml:space="preserve">Reuniones con el intersector</t>
  </si>
  <si>
    <t xml:space="preserve">Comité o mesa de trabajo</t>
  </si>
  <si>
    <t xml:space="preserve">O65</t>
  </si>
  <si>
    <t xml:space="preserve">Hombres</t>
  </si>
  <si>
    <t xml:space="preserve">P65</t>
  </si>
  <si>
    <t xml:space="preserve">Mujeres</t>
  </si>
  <si>
    <t xml:space="preserve">U65</t>
  </si>
  <si>
    <t xml:space="preserve">Pueblos originarios</t>
  </si>
  <si>
    <t xml:space="preserve">V65</t>
  </si>
  <si>
    <t xml:space="preserve">Migrantes</t>
  </si>
  <si>
    <t xml:space="preserve">J67</t>
  </si>
  <si>
    <t xml:space="preserve">Jornadas de intercambio de experiencias</t>
  </si>
  <si>
    <t xml:space="preserve">Instancia de participación indígena en salud</t>
  </si>
  <si>
    <t xml:space="preserve">O67</t>
  </si>
  <si>
    <t xml:space="preserve">P67</t>
  </si>
  <si>
    <t xml:space="preserve">U67</t>
  </si>
  <si>
    <t xml:space="preserve">V67</t>
  </si>
  <si>
    <t xml:space="preserve">B90</t>
  </si>
  <si>
    <t xml:space="preserve">Actividad con pueblos originarios</t>
  </si>
  <si>
    <t xml:space="preserve">N° de sesiones</t>
  </si>
  <si>
    <t xml:space="preserve">D90</t>
  </si>
  <si>
    <t xml:space="preserve">E90</t>
  </si>
  <si>
    <t xml:space="preserve">J90</t>
  </si>
  <si>
    <t xml:space="preserve">K90</t>
  </si>
  <si>
    <t xml:space="preserve">B.3</t>
  </si>
  <si>
    <t xml:space="preserve">F164</t>
  </si>
  <si>
    <t xml:space="preserve">Otros</t>
  </si>
  <si>
    <t xml:space="preserve">Preparación de actividades educativas</t>
  </si>
  <si>
    <t xml:space="preserve">Mes a informar (AAAA-MM):</t>
  </si>
  <si>
    <t xml:space="preserve">Total de celdas con datos:</t>
  </si>
  <si>
    <t xml:space="preserve">E129</t>
  </si>
  <si>
    <t xml:space="preserve">F129</t>
  </si>
  <si>
    <t xml:space="preserve">Ambiente libre de humo de tabaco</t>
  </si>
  <si>
    <t xml:space="preserve">G129</t>
  </si>
  <si>
    <t xml:space="preserve">Factores protectores psicosociales</t>
  </si>
  <si>
    <t xml:space="preserve">H129</t>
  </si>
  <si>
    <t xml:space="preserve">Factores protectores ambientales</t>
  </si>
  <si>
    <t xml:space="preserve">I129</t>
  </si>
  <si>
    <t xml:space="preserve">Derechos humanos</t>
  </si>
  <si>
    <t xml:space="preserve">J129</t>
  </si>
  <si>
    <t xml:space="preserve">Salud sexual y prevención de VIH/SIDA e ITS</t>
  </si>
  <si>
    <t xml:space="preserve">K129</t>
  </si>
  <si>
    <t xml:space="preserve">Factores protectores psicosociales de pueblos originarios</t>
  </si>
  <si>
    <t xml:space="preserve">L129</t>
  </si>
  <si>
    <t xml:space="preserve">Factores protectores psicosociales de migrantes</t>
  </si>
  <si>
    <t xml:space="preserve">M129</t>
  </si>
  <si>
    <t xml:space="preserve">Factores protectores psicosociales PRAIS</t>
  </si>
  <si>
    <t xml:space="preserve">D130</t>
  </si>
  <si>
    <t xml:space="preserve">Evento masivo · Espacios amigables en APS</t>
  </si>
  <si>
    <t xml:space="preserve">E130</t>
  </si>
  <si>
    <t xml:space="preserve">F130</t>
  </si>
  <si>
    <t xml:space="preserve">G130</t>
  </si>
  <si>
    <t xml:space="preserve">H130</t>
  </si>
  <si>
    <t xml:space="preserve">I130</t>
  </si>
  <si>
    <t xml:space="preserve">J130</t>
  </si>
  <si>
    <t xml:space="preserve">K130</t>
  </si>
  <si>
    <t xml:space="preserve">L130</t>
  </si>
  <si>
    <t xml:space="preserve">M130</t>
  </si>
  <si>
    <t xml:space="preserve">O130</t>
  </si>
  <si>
    <t xml:space="preserve">D131</t>
  </si>
  <si>
    <t xml:space="preserve">Evento masivo · Lugares de trabajo</t>
  </si>
  <si>
    <t xml:space="preserve">E131</t>
  </si>
  <si>
    <t xml:space="preserve">F131</t>
  </si>
  <si>
    <t xml:space="preserve">G131</t>
  </si>
  <si>
    <t xml:space="preserve">H131</t>
  </si>
  <si>
    <t xml:space="preserve">I131</t>
  </si>
  <si>
    <t xml:space="preserve">J131</t>
  </si>
  <si>
    <t xml:space="preserve">K131</t>
  </si>
  <si>
    <t xml:space="preserve">L131</t>
  </si>
  <si>
    <t xml:space="preserve">M131</t>
  </si>
  <si>
    <t xml:space="preserve">O131</t>
  </si>
  <si>
    <t xml:space="preserve">D132</t>
  </si>
  <si>
    <t xml:space="preserve">Evento masivo · Establecimientos de educación</t>
  </si>
  <si>
    <t xml:space="preserve">E132</t>
  </si>
  <si>
    <t xml:space="preserve">F132</t>
  </si>
  <si>
    <t xml:space="preserve">G132</t>
  </si>
  <si>
    <t xml:space="preserve">H132</t>
  </si>
  <si>
    <t xml:space="preserve">I132</t>
  </si>
  <si>
    <t xml:space="preserve">J132</t>
  </si>
  <si>
    <t xml:space="preserve">K132</t>
  </si>
  <si>
    <t xml:space="preserve">L132</t>
  </si>
  <si>
    <t xml:space="preserve">M132</t>
  </si>
  <si>
    <t xml:space="preserve">O132</t>
  </si>
  <si>
    <t xml:space="preserve">D133</t>
  </si>
  <si>
    <t xml:space="preserve">Evento masivo · Espacio intercultural</t>
  </si>
  <si>
    <t xml:space="preserve">E133</t>
  </si>
  <si>
    <t xml:space="preserve">F133</t>
  </si>
  <si>
    <t xml:space="preserve">G133</t>
  </si>
  <si>
    <t xml:space="preserve">H133</t>
  </si>
  <si>
    <t xml:space="preserve">I133</t>
  </si>
  <si>
    <t xml:space="preserve">J133</t>
  </si>
  <si>
    <t xml:space="preserve">K133</t>
  </si>
  <si>
    <t xml:space="preserve">L133</t>
  </si>
  <si>
    <t xml:space="preserve">M133</t>
  </si>
  <si>
    <t xml:space="preserve">O133</t>
  </si>
  <si>
    <t xml:space="preserve">D134</t>
  </si>
  <si>
    <t xml:space="preserve">Reunión de planificación participativa · Comunas, comunidades</t>
  </si>
  <si>
    <t xml:space="preserve">E134</t>
  </si>
  <si>
    <t xml:space="preserve">F134</t>
  </si>
  <si>
    <t xml:space="preserve">G134</t>
  </si>
  <si>
    <t xml:space="preserve">H134</t>
  </si>
  <si>
    <t xml:space="preserve">I134</t>
  </si>
  <si>
    <t xml:space="preserve">J134</t>
  </si>
  <si>
    <t xml:space="preserve">K134</t>
  </si>
  <si>
    <t xml:space="preserve">L134</t>
  </si>
  <si>
    <t xml:space="preserve">M134</t>
  </si>
  <si>
    <t xml:space="preserve">O134</t>
  </si>
  <si>
    <t xml:space="preserve">D135</t>
  </si>
  <si>
    <t xml:space="preserve">Reunión de planificación participativa · Espacios amigables en APS</t>
  </si>
  <si>
    <t xml:space="preserve">E135</t>
  </si>
  <si>
    <t xml:space="preserve">F135</t>
  </si>
  <si>
    <t xml:space="preserve">G135</t>
  </si>
  <si>
    <t xml:space="preserve">H135</t>
  </si>
  <si>
    <t xml:space="preserve">I135</t>
  </si>
  <si>
    <t xml:space="preserve">J135</t>
  </si>
  <si>
    <t xml:space="preserve">K135</t>
  </si>
  <si>
    <t xml:space="preserve">L135</t>
  </si>
  <si>
    <t xml:space="preserve">M135</t>
  </si>
  <si>
    <t xml:space="preserve">O135</t>
  </si>
  <si>
    <t xml:space="preserve">D136</t>
  </si>
  <si>
    <t xml:space="preserve">Reunión de planificación participativa · Lugares de trabajo</t>
  </si>
  <si>
    <t xml:space="preserve">E136</t>
  </si>
  <si>
    <t xml:space="preserve">F136</t>
  </si>
  <si>
    <t xml:space="preserve">G136</t>
  </si>
  <si>
    <t xml:space="preserve">H136</t>
  </si>
  <si>
    <t xml:space="preserve">I136</t>
  </si>
  <si>
    <t xml:space="preserve">J136</t>
  </si>
  <si>
    <t xml:space="preserve">K136</t>
  </si>
  <si>
    <t xml:space="preserve">L136</t>
  </si>
  <si>
    <t xml:space="preserve">M136</t>
  </si>
  <si>
    <t xml:space="preserve">O136</t>
  </si>
  <si>
    <t xml:space="preserve">D137</t>
  </si>
  <si>
    <t xml:space="preserve">Reunión de planificación participativa · Establecimientos de educación</t>
  </si>
  <si>
    <t xml:space="preserve">E137</t>
  </si>
  <si>
    <t xml:space="preserve">F137</t>
  </si>
  <si>
    <t xml:space="preserve">G137</t>
  </si>
  <si>
    <t xml:space="preserve">H137</t>
  </si>
  <si>
    <t xml:space="preserve">I137</t>
  </si>
  <si>
    <t xml:space="preserve">J137</t>
  </si>
  <si>
    <t xml:space="preserve">K137</t>
  </si>
  <si>
    <t xml:space="preserve">L137</t>
  </si>
  <si>
    <t xml:space="preserve">M137</t>
  </si>
  <si>
    <t xml:space="preserve">O137</t>
  </si>
  <si>
    <t xml:space="preserve">D138</t>
  </si>
  <si>
    <t xml:space="preserve">Reunión de planificación participativa · Espacio intercultural</t>
  </si>
  <si>
    <t xml:space="preserve">E138</t>
  </si>
  <si>
    <t xml:space="preserve">F138</t>
  </si>
  <si>
    <t xml:space="preserve">G138</t>
  </si>
  <si>
    <t xml:space="preserve">H138</t>
  </si>
  <si>
    <t xml:space="preserve">I138</t>
  </si>
  <si>
    <t xml:space="preserve">J138</t>
  </si>
  <si>
    <t xml:space="preserve">K138</t>
  </si>
  <si>
    <t xml:space="preserve">L138</t>
  </si>
  <si>
    <t xml:space="preserve">M138</t>
  </si>
  <si>
    <t xml:space="preserve">O138</t>
  </si>
  <si>
    <t xml:space="preserve">D139</t>
  </si>
  <si>
    <t xml:space="preserve">Jornada o seminario · Comunas, comunidades</t>
  </si>
  <si>
    <t xml:space="preserve">E139</t>
  </si>
  <si>
    <t xml:space="preserve">F139</t>
  </si>
  <si>
    <t xml:space="preserve">G139</t>
  </si>
  <si>
    <t xml:space="preserve">H139</t>
  </si>
  <si>
    <t xml:space="preserve">I139</t>
  </si>
  <si>
    <t xml:space="preserve">J139</t>
  </si>
  <si>
    <t xml:space="preserve">K139</t>
  </si>
  <si>
    <t xml:space="preserve">L139</t>
  </si>
  <si>
    <t xml:space="preserve">M139</t>
  </si>
  <si>
    <t xml:space="preserve">O139</t>
  </si>
  <si>
    <t xml:space="preserve">D140</t>
  </si>
  <si>
    <t xml:space="preserve">Jornada o seminario · Espacios amigables en APS</t>
  </si>
  <si>
    <t xml:space="preserve">E140</t>
  </si>
  <si>
    <t xml:space="preserve">F140</t>
  </si>
  <si>
    <t xml:space="preserve">G140</t>
  </si>
  <si>
    <t xml:space="preserve">H140</t>
  </si>
  <si>
    <t xml:space="preserve">I140</t>
  </si>
  <si>
    <t xml:space="preserve">J140</t>
  </si>
  <si>
    <t xml:space="preserve">K140</t>
  </si>
  <si>
    <t xml:space="preserve">L140</t>
  </si>
  <si>
    <t xml:space="preserve">M140</t>
  </si>
  <si>
    <t xml:space="preserve">O140</t>
  </si>
  <si>
    <t xml:space="preserve">D141</t>
  </si>
  <si>
    <t xml:space="preserve">Jornada o seminario · Lugares de trabajo</t>
  </si>
  <si>
    <t xml:space="preserve">E141</t>
  </si>
  <si>
    <t xml:space="preserve">F141</t>
  </si>
  <si>
    <t xml:space="preserve">G141</t>
  </si>
  <si>
    <t xml:space="preserve">H141</t>
  </si>
  <si>
    <t xml:space="preserve">I141</t>
  </si>
  <si>
    <t xml:space="preserve">J141</t>
  </si>
  <si>
    <t xml:space="preserve">K141</t>
  </si>
  <si>
    <t xml:space="preserve">L141</t>
  </si>
  <si>
    <t xml:space="preserve">M141</t>
  </si>
  <si>
    <t xml:space="preserve">O141</t>
  </si>
  <si>
    <t xml:space="preserve">D142</t>
  </si>
  <si>
    <t xml:space="preserve">Jornada o seminario · Establecimientos de educación</t>
  </si>
  <si>
    <t xml:space="preserve">E142</t>
  </si>
  <si>
    <t xml:space="preserve">F142</t>
  </si>
  <si>
    <t xml:space="preserve">G142</t>
  </si>
  <si>
    <t xml:space="preserve">H142</t>
  </si>
  <si>
    <t xml:space="preserve">I142</t>
  </si>
  <si>
    <t xml:space="preserve">J142</t>
  </si>
  <si>
    <t xml:space="preserve">K142</t>
  </si>
  <si>
    <t xml:space="preserve">L142</t>
  </si>
  <si>
    <t xml:space="preserve">M142</t>
  </si>
  <si>
    <t xml:space="preserve">O142</t>
  </si>
  <si>
    <t xml:space="preserve">D143</t>
  </si>
  <si>
    <t xml:space="preserve">Jornada o seminario · Espacio intercultural</t>
  </si>
  <si>
    <t xml:space="preserve">E143</t>
  </si>
  <si>
    <t xml:space="preserve">F143</t>
  </si>
  <si>
    <t xml:space="preserve">G143</t>
  </si>
  <si>
    <t xml:space="preserve">H143</t>
  </si>
  <si>
    <t xml:space="preserve">I143</t>
  </si>
  <si>
    <t xml:space="preserve">J143</t>
  </si>
  <si>
    <t xml:space="preserve">K143</t>
  </si>
  <si>
    <t xml:space="preserve">L143</t>
  </si>
  <si>
    <t xml:space="preserve">M143</t>
  </si>
  <si>
    <t xml:space="preserve">O143</t>
  </si>
  <si>
    <t xml:space="preserve">D144</t>
  </si>
  <si>
    <t xml:space="preserve">F144</t>
  </si>
  <si>
    <t xml:space="preserve">G144</t>
  </si>
  <si>
    <t xml:space="preserve">H144</t>
  </si>
  <si>
    <t xml:space="preserve">I144</t>
  </si>
  <si>
    <t xml:space="preserve">J144</t>
  </si>
  <si>
    <t xml:space="preserve">K144</t>
  </si>
  <si>
    <t xml:space="preserve">L144</t>
  </si>
  <si>
    <t xml:space="preserve">M144</t>
  </si>
  <si>
    <t xml:space="preserve">D145</t>
  </si>
  <si>
    <t xml:space="preserve">Educación grupal · Espacios amigables en APS</t>
  </si>
  <si>
    <t xml:space="preserve">E145</t>
  </si>
  <si>
    <t xml:space="preserve">F145</t>
  </si>
  <si>
    <t xml:space="preserve">G145</t>
  </si>
  <si>
    <t xml:space="preserve">H145</t>
  </si>
  <si>
    <t xml:space="preserve">I145</t>
  </si>
  <si>
    <t xml:space="preserve">J145</t>
  </si>
  <si>
    <t xml:space="preserve">K145</t>
  </si>
  <si>
    <t xml:space="preserve">L145</t>
  </si>
  <si>
    <t xml:space="preserve">M145</t>
  </si>
  <si>
    <t xml:space="preserve">O145</t>
  </si>
  <si>
    <t xml:space="preserve">D146</t>
  </si>
  <si>
    <t xml:space="preserve">Educación grupal · Lugares de trabajo</t>
  </si>
  <si>
    <t xml:space="preserve">E146</t>
  </si>
  <si>
    <t xml:space="preserve">F146</t>
  </si>
  <si>
    <t xml:space="preserve">G146</t>
  </si>
  <si>
    <t xml:space="preserve">H146</t>
  </si>
  <si>
    <t xml:space="preserve">I146</t>
  </si>
  <si>
    <t xml:space="preserve">J146</t>
  </si>
  <si>
    <t xml:space="preserve">K146</t>
  </si>
  <si>
    <t xml:space="preserve">L146</t>
  </si>
  <si>
    <t xml:space="preserve">M146</t>
  </si>
  <si>
    <t xml:space="preserve">O146</t>
  </si>
  <si>
    <t xml:space="preserve">D147</t>
  </si>
  <si>
    <t xml:space="preserve">Educación grupal · Establecimientos de educación</t>
  </si>
  <si>
    <t xml:space="preserve">E147</t>
  </si>
  <si>
    <t xml:space="preserve">F147</t>
  </si>
  <si>
    <t xml:space="preserve">G147</t>
  </si>
  <si>
    <t xml:space="preserve">H147</t>
  </si>
  <si>
    <t xml:space="preserve">I147</t>
  </si>
  <si>
    <t xml:space="preserve">J147</t>
  </si>
  <si>
    <t xml:space="preserve">K147</t>
  </si>
  <si>
    <t xml:space="preserve">L147</t>
  </si>
  <si>
    <t xml:space="preserve">M147</t>
  </si>
  <si>
    <t xml:space="preserve">O147</t>
  </si>
  <si>
    <t xml:space="preserve">D148</t>
  </si>
  <si>
    <t xml:space="preserve">Educación grupal · Espacio intercultural</t>
  </si>
  <si>
    <t xml:space="preserve">E148</t>
  </si>
  <si>
    <t xml:space="preserve">F148</t>
  </si>
  <si>
    <t xml:space="preserve">G148</t>
  </si>
  <si>
    <t xml:space="preserve">H148</t>
  </si>
  <si>
    <t xml:space="preserve">I148</t>
  </si>
  <si>
    <t xml:space="preserve">J148</t>
  </si>
  <si>
    <t xml:space="preserve">K148</t>
  </si>
  <si>
    <t xml:space="preserve">L148</t>
  </si>
  <si>
    <t xml:space="preserve">M148</t>
  </si>
  <si>
    <t xml:space="preserve">O148</t>
  </si>
  <si>
    <t xml:space="preserve">C151</t>
  </si>
  <si>
    <t xml:space="preserve">Comunas, comunidades</t>
  </si>
  <si>
    <t xml:space="preserve">Autoestima y autocuidado</t>
  </si>
  <si>
    <t xml:space="preserve">D151</t>
  </si>
  <si>
    <t xml:space="preserve">Mente sana y cuerpo sano</t>
  </si>
  <si>
    <t xml:space="preserve">E151</t>
  </si>
  <si>
    <t xml:space="preserve">Comunicación</t>
  </si>
  <si>
    <t xml:space="preserve">F151</t>
  </si>
  <si>
    <t xml:space="preserve">G151</t>
  </si>
  <si>
    <t xml:space="preserve">Control del tabaco</t>
  </si>
  <si>
    <t xml:space="preserve">H151</t>
  </si>
  <si>
    <t xml:space="preserve">Otro tipo de taller</t>
  </si>
  <si>
    <t xml:space="preserve">C152</t>
  </si>
  <si>
    <t xml:space="preserve">Espacios amigables en APS</t>
  </si>
  <si>
    <t xml:space="preserve">D152</t>
  </si>
  <si>
    <t xml:space="preserve">E152</t>
  </si>
  <si>
    <t xml:space="preserve">F152</t>
  </si>
  <si>
    <t xml:space="preserve">G152</t>
  </si>
  <si>
    <t xml:space="preserve">H152</t>
  </si>
  <si>
    <t xml:space="preserve">C153</t>
  </si>
  <si>
    <t xml:space="preserve">Lugares de trabajo</t>
  </si>
  <si>
    <t xml:space="preserve">D153</t>
  </si>
  <si>
    <t xml:space="preserve">E153</t>
  </si>
  <si>
    <t xml:space="preserve">F153</t>
  </si>
  <si>
    <t xml:space="preserve">G153</t>
  </si>
  <si>
    <t xml:space="preserve">H153</t>
  </si>
  <si>
    <t xml:space="preserve">C154</t>
  </si>
  <si>
    <t xml:space="preserve">D154</t>
  </si>
  <si>
    <t xml:space="preserve">E154</t>
  </si>
  <si>
    <t xml:space="preserve">G154</t>
  </si>
  <si>
    <t xml:space="preserve">H154</t>
  </si>
  <si>
    <t xml:space="preserve">C155</t>
  </si>
  <si>
    <t xml:space="preserve">Espacio intercultural</t>
  </si>
  <si>
    <t xml:space="preserve">D155</t>
  </si>
  <si>
    <t xml:space="preserve">E155</t>
  </si>
  <si>
    <t xml:space="preserve">F155</t>
  </si>
  <si>
    <t xml:space="preserve">G155</t>
  </si>
  <si>
    <t xml:space="preserve">H155</t>
  </si>
  <si>
    <t xml:space="preserve">C158</t>
  </si>
  <si>
    <t xml:space="preserve">Reunión de gestión</t>
  </si>
  <si>
    <t xml:space="preserve">D158</t>
  </si>
  <si>
    <t xml:space="preserve">Reunión masiva de gestión</t>
  </si>
  <si>
    <t xml:space="preserve">E158</t>
  </si>
  <si>
    <t xml:space="preserve">Acción de comunicación y difusión</t>
  </si>
  <si>
    <t xml:space="preserve">F158</t>
  </si>
  <si>
    <t xml:space="preserve">G158</t>
  </si>
  <si>
    <t xml:space="preserve">Entrevista</t>
  </si>
  <si>
    <t xml:space="preserve">H158</t>
  </si>
  <si>
    <t xml:space="preserve">Investigación y capacitación de RRHH</t>
  </si>
  <si>
    <t xml:space="preserve">C159</t>
  </si>
  <si>
    <t xml:space="preserve">D159</t>
  </si>
  <si>
    <t xml:space="preserve">E159</t>
  </si>
  <si>
    <t xml:space="preserve">F159</t>
  </si>
  <si>
    <t xml:space="preserve">G159</t>
  </si>
  <si>
    <t xml:space="preserve">H159</t>
  </si>
  <si>
    <t xml:space="preserve">C160</t>
  </si>
  <si>
    <t xml:space="preserve">D160</t>
  </si>
  <si>
    <t xml:space="preserve">E160</t>
  </si>
  <si>
    <t xml:space="preserve">F160</t>
  </si>
  <si>
    <t xml:space="preserve">G160</t>
  </si>
  <si>
    <t xml:space="preserve">H160</t>
  </si>
  <si>
    <t xml:space="preserve">C161</t>
  </si>
  <si>
    <t xml:space="preserve">Establecimientos educacionales</t>
  </si>
  <si>
    <t xml:space="preserve">D161</t>
  </si>
  <si>
    <t xml:space="preserve">E161</t>
  </si>
  <si>
    <t xml:space="preserve">F161</t>
  </si>
  <si>
    <t xml:space="preserve">G161</t>
  </si>
  <si>
    <t xml:space="preserve">H161</t>
  </si>
  <si>
    <t xml:space="preserve">C162</t>
  </si>
  <si>
    <t xml:space="preserve">D162</t>
  </si>
  <si>
    <t xml:space="preserve">E162</t>
  </si>
  <si>
    <t xml:space="preserve">F162</t>
  </si>
  <si>
    <t xml:space="preserve">G162</t>
  </si>
  <si>
    <t xml:space="preserve">H162</t>
  </si>
  <si>
    <t xml:space="preserve">C163</t>
  </si>
  <si>
    <t xml:space="preserve">Espacio intersectorial</t>
  </si>
  <si>
    <t xml:space="preserve">D163</t>
  </si>
  <si>
    <t xml:space="preserve">E163</t>
  </si>
  <si>
    <t xml:space="preserve">F163</t>
  </si>
  <si>
    <t xml:space="preserve">G163</t>
  </si>
  <si>
    <t xml:space="preserve">H163</t>
  </si>
  <si>
    <t xml:space="preserve">C164</t>
  </si>
  <si>
    <t xml:space="preserve">D164</t>
  </si>
  <si>
    <t xml:space="preserve">E164</t>
  </si>
  <si>
    <t xml:space="preserve">G164</t>
  </si>
  <si>
    <t xml:space="preserve">H164</t>
  </si>
  <si>
    <t xml:space="preserve">B.4</t>
  </si>
  <si>
    <t xml:space="preserve">D167</t>
  </si>
  <si>
    <t xml:space="preserve">Espacios comunitarios</t>
  </si>
  <si>
    <t xml:space="preserve">E167</t>
  </si>
  <si>
    <t xml:space="preserve">F167</t>
  </si>
  <si>
    <t xml:space="preserve">Libre de humo de tabaco</t>
  </si>
  <si>
    <t xml:space="preserve">G167</t>
  </si>
  <si>
    <t xml:space="preserve">H167</t>
  </si>
  <si>
    <t xml:space="preserve">Prevención consumo de alcohol y otras drogas</t>
  </si>
  <si>
    <t xml:space="preserve">I167</t>
  </si>
  <si>
    <t xml:space="preserve">Salud sexual y prevención de VIH/ITS</t>
  </si>
  <si>
    <t xml:space="preserve">J167</t>
  </si>
  <si>
    <t xml:space="preserve">Otros tipos de talleres</t>
  </si>
  <si>
    <t xml:space="preserve">C167</t>
  </si>
  <si>
    <t xml:space="preserve">D168</t>
  </si>
  <si>
    <t xml:space="preserve">E168</t>
  </si>
  <si>
    <t xml:space="preserve">F168</t>
  </si>
  <si>
    <t xml:space="preserve">G168</t>
  </si>
  <si>
    <t xml:space="preserve">H168</t>
  </si>
  <si>
    <t xml:space="preserve">I168</t>
  </si>
  <si>
    <t xml:space="preserve">J168</t>
  </si>
  <si>
    <t xml:space="preserve">C168</t>
  </si>
  <si>
    <t xml:space="preserve">D169</t>
  </si>
  <si>
    <t xml:space="preserve">Centros de salud</t>
  </si>
  <si>
    <t xml:space="preserve">E169</t>
  </si>
  <si>
    <t xml:space="preserve">F169</t>
  </si>
  <si>
    <t xml:space="preserve">G169</t>
  </si>
  <si>
    <t xml:space="preserve">H169</t>
  </si>
  <si>
    <t xml:space="preserve">I169</t>
  </si>
  <si>
    <t xml:space="preserve">J169</t>
  </si>
  <si>
    <t xml:space="preserve">C169</t>
  </si>
  <si>
    <t xml:space="preserve">D170</t>
  </si>
  <si>
    <t xml:space="preserve">E170</t>
  </si>
  <si>
    <t xml:space="preserve">F170</t>
  </si>
  <si>
    <t xml:space="preserve">G170</t>
  </si>
  <si>
    <t xml:space="preserve">H170</t>
  </si>
  <si>
    <t xml:space="preserve">I170</t>
  </si>
  <si>
    <t xml:space="preserve">J170</t>
  </si>
  <si>
    <t xml:space="preserve">C170</t>
  </si>
  <si>
    <t xml:space="preserve">D</t>
  </si>
  <si>
    <t xml:space="preserve">C185</t>
  </si>
  <si>
    <t xml:space="preserve">Orientación y/o educación · Lugar de trabajo</t>
  </si>
  <si>
    <t xml:space="preserve">Individual</t>
  </si>
  <si>
    <t xml:space="preserve">D185</t>
  </si>
  <si>
    <t xml:space="preserve">Grupal</t>
  </si>
  <si>
    <t xml:space="preserve">C186</t>
  </si>
  <si>
    <t xml:space="preserve">Orientación y/o educación · Institución (ELEAM, cárcel, colegio, sala cuna, jardín)</t>
  </si>
  <si>
    <t xml:space="preserve">D186</t>
  </si>
  <si>
    <t xml:space="preserve">C187</t>
  </si>
  <si>
    <t xml:space="preserve">Orientación y/o educación · Grupo comunitario</t>
  </si>
  <si>
    <t xml:space="preserve">D187</t>
  </si>
  <si>
    <t xml:space="preserve">C62</t>
  </si>
  <si>
    <t xml:space="preserve">Administración y/o gestión</t>
  </si>
  <si>
    <t xml:space="preserve">Consejo de la Sociedad Civil (COSOC)</t>
  </si>
  <si>
    <t xml:space="preserve">D62</t>
  </si>
  <si>
    <t xml:space="preserve">Instancia de participación de adolescentes y jóvenes</t>
  </si>
  <si>
    <t xml:space="preserve">E62</t>
  </si>
  <si>
    <t xml:space="preserve">Consejo Consultivo de Usuarios</t>
  </si>
  <si>
    <t xml:space="preserve">F62</t>
  </si>
  <si>
    <t xml:space="preserve">Consejo de Desarrollo Local</t>
  </si>
  <si>
    <t xml:space="preserve">G62</t>
  </si>
  <si>
    <t xml:space="preserve">Consejo de Integración de la Red Asistencial (CIRA)</t>
  </si>
  <si>
    <t xml:space="preserve">H62</t>
  </si>
  <si>
    <t xml:space="preserve">I62</t>
  </si>
  <si>
    <t xml:space="preserve">Cabildo ciudadano territorial o sectorial</t>
  </si>
  <si>
    <t xml:space="preserve">J62</t>
  </si>
  <si>
    <t xml:space="preserve">K62</t>
  </si>
  <si>
    <t xml:space="preserve">Consejo interreligioso</t>
  </si>
  <si>
    <t xml:space="preserve">L62</t>
  </si>
  <si>
    <t xml:space="preserve">Otra instancia de participación</t>
  </si>
  <si>
    <t xml:space="preserve">M62</t>
  </si>
  <si>
    <t xml:space="preserve">Uso de TICs y/o redes sociales</t>
  </si>
  <si>
    <t xml:space="preserve">O62</t>
  </si>
  <si>
    <t xml:space="preserve">P62</t>
  </si>
  <si>
    <t xml:space="preserve">Q62</t>
  </si>
  <si>
    <t xml:space="preserve">Trans masculino</t>
  </si>
  <si>
    <t xml:space="preserve">R62</t>
  </si>
  <si>
    <t xml:space="preserve">Trans femenina</t>
  </si>
  <si>
    <t xml:space="preserve">S62</t>
  </si>
  <si>
    <t xml:space="preserve">No binarie</t>
  </si>
  <si>
    <t xml:space="preserve">T62</t>
  </si>
  <si>
    <t xml:space="preserve">No revelado</t>
  </si>
  <si>
    <t xml:space="preserve">U62</t>
  </si>
  <si>
    <t xml:space="preserve">V62</t>
  </si>
  <si>
    <t xml:space="preserve">W62</t>
  </si>
  <si>
    <t xml:space="preserve">PRAIS</t>
  </si>
  <si>
    <t xml:space="preserve">C63</t>
  </si>
  <si>
    <t xml:space="preserve">Entrevistas</t>
  </si>
  <si>
    <t xml:space="preserve">D63</t>
  </si>
  <si>
    <t xml:space="preserve">E63</t>
  </si>
  <si>
    <t xml:space="preserve">F63</t>
  </si>
  <si>
    <t xml:space="preserve">G63</t>
  </si>
  <si>
    <t xml:space="preserve">H63</t>
  </si>
  <si>
    <t xml:space="preserve">I63</t>
  </si>
  <si>
    <t xml:space="preserve">J63</t>
  </si>
  <si>
    <t xml:space="preserve">K63</t>
  </si>
  <si>
    <t xml:space="preserve">L63</t>
  </si>
  <si>
    <t xml:space="preserve">M63</t>
  </si>
  <si>
    <t xml:space="preserve">O63</t>
  </si>
  <si>
    <t xml:space="preserve">P63</t>
  </si>
  <si>
    <t xml:space="preserve">Q63</t>
  </si>
  <si>
    <t xml:space="preserve">R63</t>
  </si>
  <si>
    <t xml:space="preserve">S63</t>
  </si>
  <si>
    <t xml:space="preserve">T63</t>
  </si>
  <si>
    <t xml:space="preserve">U63</t>
  </si>
  <si>
    <t xml:space="preserve">V63</t>
  </si>
  <si>
    <t xml:space="preserve">W63</t>
  </si>
  <si>
    <t xml:space="preserve">C64</t>
  </si>
  <si>
    <t xml:space="preserve">Reuniones con el intrasector</t>
  </si>
  <si>
    <t xml:space="preserve">D64</t>
  </si>
  <si>
    <t xml:space="preserve">E64</t>
  </si>
  <si>
    <t xml:space="preserve">F64</t>
  </si>
  <si>
    <t xml:space="preserve">G64</t>
  </si>
  <si>
    <t xml:space="preserve">H64</t>
  </si>
  <si>
    <t xml:space="preserve">I64</t>
  </si>
  <si>
    <t xml:space="preserve">J64</t>
  </si>
  <si>
    <t xml:space="preserve">K64</t>
  </si>
  <si>
    <t xml:space="preserve">L64</t>
  </si>
  <si>
    <t xml:space="preserve">M64</t>
  </si>
  <si>
    <t xml:space="preserve">O64</t>
  </si>
  <si>
    <t xml:space="preserve">P64</t>
  </si>
  <si>
    <t xml:space="preserve">Q64</t>
  </si>
  <si>
    <t xml:space="preserve">R64</t>
  </si>
  <si>
    <t xml:space="preserve">S64</t>
  </si>
  <si>
    <t xml:space="preserve">T64</t>
  </si>
  <si>
    <t xml:space="preserve">U64</t>
  </si>
  <si>
    <t xml:space="preserve">V64</t>
  </si>
  <si>
    <t xml:space="preserve">W64</t>
  </si>
  <si>
    <t xml:space="preserve">C65</t>
  </si>
  <si>
    <t xml:space="preserve">D65</t>
  </si>
  <si>
    <t xml:space="preserve">E65</t>
  </si>
  <si>
    <t xml:space="preserve">F65</t>
  </si>
  <si>
    <t xml:space="preserve">G65</t>
  </si>
  <si>
    <t xml:space="preserve">I65</t>
  </si>
  <si>
    <t xml:space="preserve">J65</t>
  </si>
  <si>
    <t xml:space="preserve">K65</t>
  </si>
  <si>
    <t xml:space="preserve">L65</t>
  </si>
  <si>
    <t xml:space="preserve">M65</t>
  </si>
  <si>
    <t xml:space="preserve">Q65</t>
  </si>
  <si>
    <t xml:space="preserve">R65</t>
  </si>
  <si>
    <t xml:space="preserve">S65</t>
  </si>
  <si>
    <t xml:space="preserve">T65</t>
  </si>
  <si>
    <t xml:space="preserve">W65</t>
  </si>
  <si>
    <t xml:space="preserve">C66</t>
  </si>
  <si>
    <t xml:space="preserve">Asesoría técnica</t>
  </si>
  <si>
    <t xml:space="preserve">D66</t>
  </si>
  <si>
    <t xml:space="preserve">E66</t>
  </si>
  <si>
    <t xml:space="preserve">F66</t>
  </si>
  <si>
    <t xml:space="preserve">G66</t>
  </si>
  <si>
    <t xml:space="preserve">H66</t>
  </si>
  <si>
    <t xml:space="preserve">I66</t>
  </si>
  <si>
    <t xml:space="preserve">J66</t>
  </si>
  <si>
    <t xml:space="preserve">K66</t>
  </si>
  <si>
    <t xml:space="preserve">L66</t>
  </si>
  <si>
    <t xml:space="preserve">M66</t>
  </si>
  <si>
    <t xml:space="preserve">O66</t>
  </si>
  <si>
    <t xml:space="preserve">P66</t>
  </si>
  <si>
    <t xml:space="preserve">Q66</t>
  </si>
  <si>
    <t xml:space="preserve">R66</t>
  </si>
  <si>
    <t xml:space="preserve">S66</t>
  </si>
  <si>
    <t xml:space="preserve">T66</t>
  </si>
  <si>
    <t xml:space="preserve">U66</t>
  </si>
  <si>
    <t xml:space="preserve">V66</t>
  </si>
  <si>
    <t xml:space="preserve">W66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</si>
  <si>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</si>
  <si>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</si>
  <si>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</si>
  <si>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</si>
  <si>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</si>
  <si>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H67</t>
  </si>
  <si>
    <t xml:space="preserve">I67</t>
  </si>
  <si>
    <t xml:space="preserve">K67</t>
  </si>
  <si>
    <t xml:space="preserve">L67</t>
  </si>
  <si>
    <t xml:space="preserve">M67</t>
  </si>
  <si>
    <t xml:space="preserve">Q67</t>
  </si>
  <si>
    <t xml:space="preserve">R67</t>
  </si>
  <si>
    <t xml:space="preserve">S67</t>
  </si>
  <si>
    <t xml:space="preserve">T67</t>
  </si>
  <si>
    <t xml:space="preserve">W67</t>
  </si>
  <si>
    <t xml:space="preserve">C68</t>
  </si>
  <si>
    <t xml:space="preserve">Actividades de difusión y comunicación</t>
  </si>
  <si>
    <t xml:space="preserve">D68</t>
  </si>
  <si>
    <t xml:space="preserve">E68</t>
  </si>
  <si>
    <t xml:space="preserve">F68</t>
  </si>
  <si>
    <t xml:space="preserve">G68</t>
  </si>
  <si>
    <t xml:space="preserve">H68</t>
  </si>
  <si>
    <t xml:space="preserve">I68</t>
  </si>
  <si>
    <t xml:space="preserve">J68</t>
  </si>
  <si>
    <t xml:space="preserve">K68</t>
  </si>
  <si>
    <t xml:space="preserve">L68</t>
  </si>
  <si>
    <t xml:space="preserve">M68</t>
  </si>
  <si>
    <t xml:space="preserve">O68</t>
  </si>
  <si>
    <t xml:space="preserve">P68</t>
  </si>
  <si>
    <t xml:space="preserve">Q68</t>
  </si>
  <si>
    <t xml:space="preserve">R68</t>
  </si>
  <si>
    <t xml:space="preserve">S68</t>
  </si>
  <si>
    <t xml:space="preserve">T68</t>
  </si>
  <si>
    <t xml:space="preserve">U68</t>
  </si>
  <si>
    <t xml:space="preserve">V68</t>
  </si>
  <si>
    <t xml:space="preserve">W68</t>
  </si>
  <si>
    <t xml:space="preserve">C69</t>
  </si>
  <si>
    <t xml:space="preserve">Educación y capacitación comunitaria</t>
  </si>
  <si>
    <t xml:space="preserve">D69</t>
  </si>
  <si>
    <t xml:space="preserve">E69</t>
  </si>
  <si>
    <t xml:space="preserve">F69</t>
  </si>
  <si>
    <t xml:space="preserve">G69</t>
  </si>
  <si>
    <t xml:space="preserve">H69</t>
  </si>
  <si>
    <t xml:space="preserve">I69</t>
  </si>
  <si>
    <t xml:space="preserve">J69</t>
  </si>
  <si>
    <t xml:space="preserve">K69</t>
  </si>
  <si>
    <t xml:space="preserve">L69</t>
  </si>
  <si>
    <t xml:space="preserve">M69</t>
  </si>
  <si>
    <t xml:space="preserve">O69</t>
  </si>
  <si>
    <t xml:space="preserve">P69</t>
  </si>
  <si>
    <t xml:space="preserve">Q69</t>
  </si>
  <si>
    <t xml:space="preserve">R69</t>
  </si>
  <si>
    <t xml:space="preserve">S69</t>
  </si>
  <si>
    <t xml:space="preserve">T69</t>
  </si>
  <si>
    <t xml:space="preserve">U69</t>
  </si>
  <si>
    <t xml:space="preserve">V69</t>
  </si>
  <si>
    <t xml:space="preserve">W69</t>
  </si>
  <si>
    <t xml:space="preserve">C70</t>
  </si>
  <si>
    <t xml:space="preserve">Eventos masivos (asambleas, cabildos, otros)</t>
  </si>
  <si>
    <t xml:space="preserve">D70</t>
  </si>
  <si>
    <t xml:space="preserve">E70</t>
  </si>
  <si>
    <t xml:space="preserve">F70</t>
  </si>
  <si>
    <t xml:space="preserve">G70</t>
  </si>
  <si>
    <t xml:space="preserve">H70</t>
  </si>
  <si>
    <t xml:space="preserve">I70</t>
  </si>
  <si>
    <t xml:space="preserve">J70</t>
  </si>
  <si>
    <t xml:space="preserve">K70</t>
  </si>
  <si>
    <t xml:space="preserve">L70</t>
  </si>
  <si>
    <t xml:space="preserve">M70</t>
  </si>
  <si>
    <t xml:space="preserve">O70</t>
  </si>
  <si>
    <t xml:space="preserve">P70</t>
  </si>
  <si>
    <t xml:space="preserve">Q70</t>
  </si>
  <si>
    <t xml:space="preserve">R70</t>
  </si>
  <si>
    <t xml:space="preserve">S70</t>
  </si>
  <si>
    <t xml:space="preserve">T70</t>
  </si>
  <si>
    <t xml:space="preserve">U70</t>
  </si>
  <si>
    <t xml:space="preserve">V70</t>
  </si>
  <si>
    <t xml:space="preserve">W70</t>
  </si>
  <si>
    <t xml:space="preserve">C71</t>
  </si>
  <si>
    <t xml:space="preserve">Pasantías</t>
  </si>
  <si>
    <t xml:space="preserve">D71</t>
  </si>
  <si>
    <t xml:space="preserve">E71</t>
  </si>
  <si>
    <t xml:space="preserve">F71</t>
  </si>
  <si>
    <t xml:space="preserve">G71</t>
  </si>
  <si>
    <t xml:space="preserve">H71</t>
  </si>
  <si>
    <t xml:space="preserve">I71</t>
  </si>
  <si>
    <t xml:space="preserve">J71</t>
  </si>
  <si>
    <t xml:space="preserve">K71</t>
  </si>
  <si>
    <t xml:space="preserve">L71</t>
  </si>
  <si>
    <t xml:space="preserve">M71</t>
  </si>
  <si>
    <t xml:space="preserve">O71</t>
  </si>
  <si>
    <t xml:space="preserve">P71</t>
  </si>
  <si>
    <t xml:space="preserve">Q71</t>
  </si>
  <si>
    <t xml:space="preserve">R71</t>
  </si>
  <si>
    <t xml:space="preserve">S71</t>
  </si>
  <si>
    <t xml:space="preserve">T71</t>
  </si>
  <si>
    <t xml:space="preserve">U71</t>
  </si>
  <si>
    <t xml:space="preserve">V71</t>
  </si>
  <si>
    <t xml:space="preserve">W71</t>
  </si>
  <si>
    <t xml:space="preserve">C72</t>
  </si>
  <si>
    <t xml:space="preserve">Comunidades de aprendizaje</t>
  </si>
  <si>
    <t xml:space="preserve">D72</t>
  </si>
  <si>
    <t xml:space="preserve">E72</t>
  </si>
  <si>
    <t xml:space="preserve">F72</t>
  </si>
  <si>
    <t xml:space="preserve">G72</t>
  </si>
  <si>
    <t xml:space="preserve">H72</t>
  </si>
  <si>
    <t xml:space="preserve">I72</t>
  </si>
  <si>
    <t xml:space="preserve">J72</t>
  </si>
  <si>
    <t xml:space="preserve">K72</t>
  </si>
  <si>
    <t xml:space="preserve">L72</t>
  </si>
  <si>
    <t xml:space="preserve">M72</t>
  </si>
  <si>
    <t xml:space="preserve">O72</t>
  </si>
  <si>
    <t xml:space="preserve">P72</t>
  </si>
  <si>
    <t xml:space="preserve">Q72</t>
  </si>
  <si>
    <t xml:space="preserve">R72</t>
  </si>
  <si>
    <t xml:space="preserve">S72</t>
  </si>
  <si>
    <t xml:space="preserve">T72</t>
  </si>
  <si>
    <t xml:space="preserve">U72</t>
  </si>
  <si>
    <t xml:space="preserve">V72</t>
  </si>
  <si>
    <t xml:space="preserve">W72</t>
  </si>
  <si>
    <t xml:space="preserve">C73</t>
  </si>
  <si>
    <t xml:space="preserve">Mentorías</t>
  </si>
  <si>
    <t xml:space="preserve">D73</t>
  </si>
  <si>
    <t xml:space="preserve">E73</t>
  </si>
  <si>
    <t xml:space="preserve">F73</t>
  </si>
  <si>
    <t xml:space="preserve">G73</t>
  </si>
  <si>
    <t xml:space="preserve">H73</t>
  </si>
  <si>
    <t xml:space="preserve">I73</t>
  </si>
  <si>
    <t xml:space="preserve">J73</t>
  </si>
  <si>
    <t xml:space="preserve">K73</t>
  </si>
  <si>
    <t xml:space="preserve">L73</t>
  </si>
  <si>
    <t xml:space="preserve">M73</t>
  </si>
  <si>
    <t xml:space="preserve">O73</t>
  </si>
  <si>
    <t xml:space="preserve">P73</t>
  </si>
  <si>
    <t xml:space="preserve">Q73</t>
  </si>
  <si>
    <t xml:space="preserve">R73</t>
  </si>
  <si>
    <t xml:space="preserve">S73</t>
  </si>
  <si>
    <t xml:space="preserve">T73</t>
  </si>
  <si>
    <t xml:space="preserve">U73</t>
  </si>
  <si>
    <t xml:space="preserve">V73</t>
  </si>
  <si>
    <t xml:space="preserve">W73</t>
  </si>
  <si>
    <t xml:space="preserve">B78</t>
  </si>
  <si>
    <t xml:space="preserve">Cuenta pública participativa</t>
  </si>
  <si>
    <t xml:space="preserve">D78</t>
  </si>
  <si>
    <t xml:space="preserve">E78</t>
  </si>
  <si>
    <t xml:space="preserve">F78</t>
  </si>
  <si>
    <t xml:space="preserve">G78</t>
  </si>
  <si>
    <t xml:space="preserve">H78</t>
  </si>
  <si>
    <t xml:space="preserve">I78</t>
  </si>
  <si>
    <t xml:space="preserve">J78</t>
  </si>
  <si>
    <t xml:space="preserve">K78</t>
  </si>
  <si>
    <t xml:space="preserve">L78</t>
  </si>
  <si>
    <t xml:space="preserve">B79</t>
  </si>
  <si>
    <t xml:space="preserve">Presupuesto participativo</t>
  </si>
  <si>
    <t xml:space="preserve">D79</t>
  </si>
  <si>
    <t xml:space="preserve">E79</t>
  </si>
  <si>
    <t xml:space="preserve">F79</t>
  </si>
  <si>
    <t xml:space="preserve">G79</t>
  </si>
  <si>
    <t xml:space="preserve">H79</t>
  </si>
  <si>
    <t xml:space="preserve">I79</t>
  </si>
  <si>
    <t xml:space="preserve">J79</t>
  </si>
  <si>
    <t xml:space="preserve">K79</t>
  </si>
  <si>
    <t xml:space="preserve">L79</t>
  </si>
  <si>
    <t xml:space="preserve">B80</t>
  </si>
  <si>
    <t xml:space="preserve">Consulta y/o diálogo ciudadano</t>
  </si>
  <si>
    <t xml:space="preserve">D80</t>
  </si>
  <si>
    <t xml:space="preserve">E80</t>
  </si>
  <si>
    <t xml:space="preserve">F80</t>
  </si>
  <si>
    <t xml:space="preserve">G80</t>
  </si>
  <si>
    <t xml:space="preserve">H80</t>
  </si>
  <si>
    <t xml:space="preserve">I80</t>
  </si>
  <si>
    <t xml:space="preserve">J80</t>
  </si>
  <si>
    <t xml:space="preserve">K80</t>
  </si>
  <si>
    <t xml:space="preserve">L80</t>
  </si>
  <si>
    <t xml:space="preserve">B81</t>
  </si>
  <si>
    <t xml:space="preserve">Participación en proyecto de inversión</t>
  </si>
  <si>
    <t xml:space="preserve">D81</t>
  </si>
  <si>
    <t xml:space="preserve">E81</t>
  </si>
  <si>
    <t xml:space="preserve">F81</t>
  </si>
  <si>
    <t xml:space="preserve">G81</t>
  </si>
  <si>
    <t xml:space="preserve">H81</t>
  </si>
  <si>
    <t xml:space="preserve">I81</t>
  </si>
  <si>
    <t xml:space="preserve">J81</t>
  </si>
  <si>
    <t xml:space="preserve">K81</t>
  </si>
  <si>
    <t xml:space="preserve">L81</t>
  </si>
  <si>
    <t xml:space="preserve">B82</t>
  </si>
  <si>
    <t xml:space="preserve">Apoyo al voluntariado</t>
  </si>
  <si>
    <t xml:space="preserve">D82</t>
  </si>
  <si>
    <t xml:space="preserve">E82</t>
  </si>
  <si>
    <t xml:space="preserve">F82</t>
  </si>
  <si>
    <t xml:space="preserve">G82</t>
  </si>
  <si>
    <t xml:space="preserve">H82</t>
  </si>
  <si>
    <t xml:space="preserve">I82</t>
  </si>
  <si>
    <t xml:space="preserve">J82</t>
  </si>
  <si>
    <t xml:space="preserve">K82</t>
  </si>
  <si>
    <t xml:space="preserve">L82</t>
  </si>
  <si>
    <t xml:space="preserve">B83</t>
  </si>
  <si>
    <t xml:space="preserve">Diagnóstico participativo</t>
  </si>
  <si>
    <t xml:space="preserve">D83</t>
  </si>
  <si>
    <t xml:space="preserve">E83</t>
  </si>
  <si>
    <t xml:space="preserve">F83</t>
  </si>
  <si>
    <t xml:space="preserve">G83</t>
  </si>
  <si>
    <t xml:space="preserve">H83</t>
  </si>
  <si>
    <t xml:space="preserve">I83</t>
  </si>
  <si>
    <t xml:space="preserve">J83</t>
  </si>
  <si>
    <t xml:space="preserve">K83</t>
  </si>
  <si>
    <t xml:space="preserve">L83</t>
  </si>
  <si>
    <t xml:space="preserve">B84</t>
  </si>
  <si>
    <t xml:space="preserve">Planificación participativa</t>
  </si>
  <si>
    <t xml:space="preserve">D84</t>
  </si>
  <si>
    <t xml:space="preserve">F84</t>
  </si>
  <si>
    <t xml:space="preserve">G84</t>
  </si>
  <si>
    <t xml:space="preserve">H84</t>
  </si>
  <si>
    <t xml:space="preserve">I84</t>
  </si>
  <si>
    <t xml:space="preserve">J84</t>
  </si>
  <si>
    <t xml:space="preserve">K84</t>
  </si>
  <si>
    <t xml:space="preserve">L84</t>
  </si>
  <si>
    <t xml:space="preserve">B85</t>
  </si>
  <si>
    <t xml:space="preserve">Ejecución participativa</t>
  </si>
  <si>
    <t xml:space="preserve">D85</t>
  </si>
  <si>
    <t xml:space="preserve">E85</t>
  </si>
  <si>
    <t xml:space="preserve">F85</t>
  </si>
  <si>
    <t xml:space="preserve">G85</t>
  </si>
  <si>
    <t xml:space="preserve">H85</t>
  </si>
  <si>
    <t xml:space="preserve">I85</t>
  </si>
  <si>
    <t xml:space="preserve">J85</t>
  </si>
  <si>
    <t xml:space="preserve">K85</t>
  </si>
  <si>
    <t xml:space="preserve">L85</t>
  </si>
  <si>
    <t xml:space="preserve">B86</t>
  </si>
  <si>
    <t xml:space="preserve">Monitoreo y/o evaluación participativa</t>
  </si>
  <si>
    <t xml:space="preserve">D86</t>
  </si>
  <si>
    <t xml:space="preserve">E86</t>
  </si>
  <si>
    <t xml:space="preserve">F86</t>
  </si>
  <si>
    <t xml:space="preserve">G86</t>
  </si>
  <si>
    <t xml:space="preserve">H86</t>
  </si>
  <si>
    <t xml:space="preserve">I86</t>
  </si>
  <si>
    <t xml:space="preserve">J86</t>
  </si>
  <si>
    <t xml:space="preserve">K86</t>
  </si>
  <si>
    <t xml:space="preserve">L86</t>
  </si>
  <si>
    <t xml:space="preserve">B87</t>
  </si>
  <si>
    <t xml:space="preserve">Sistematización participativa</t>
  </si>
  <si>
    <t xml:space="preserve">D87</t>
  </si>
  <si>
    <t xml:space="preserve">E87</t>
  </si>
  <si>
    <t xml:space="preserve">F87</t>
  </si>
  <si>
    <t xml:space="preserve">G87</t>
  </si>
  <si>
    <t xml:space="preserve">H87</t>
  </si>
  <si>
    <t xml:space="preserve">I87</t>
  </si>
  <si>
    <t xml:space="preserve">J87</t>
  </si>
  <si>
    <t xml:space="preserve">K87</t>
  </si>
  <si>
    <t xml:space="preserve">L87</t>
  </si>
  <si>
    <t xml:space="preserve">B88</t>
  </si>
  <si>
    <t xml:space="preserve">Capacitación de equipos y directivos de salud</t>
  </si>
  <si>
    <t xml:space="preserve">D88</t>
  </si>
  <si>
    <t xml:space="preserve">E88</t>
  </si>
  <si>
    <t xml:space="preserve">F88</t>
  </si>
  <si>
    <t xml:space="preserve">G88</t>
  </si>
  <si>
    <t xml:space="preserve">H88</t>
  </si>
  <si>
    <t xml:space="preserve">I88</t>
  </si>
  <si>
    <t xml:space="preserve">J88</t>
  </si>
  <si>
    <t xml:space="preserve">K88</t>
  </si>
  <si>
    <t xml:space="preserve">L88</t>
  </si>
  <si>
    <t xml:space="preserve">B89</t>
  </si>
  <si>
    <t xml:space="preserve">Capacitación de dirigentes, comunidad y sociedad civil</t>
  </si>
  <si>
    <t xml:space="preserve">D89</t>
  </si>
  <si>
    <t xml:space="preserve">E89</t>
  </si>
  <si>
    <t xml:space="preserve">F89</t>
  </si>
  <si>
    <t xml:space="preserve">G89</t>
  </si>
  <si>
    <t xml:space="preserve">H89</t>
  </si>
  <si>
    <t xml:space="preserve">I89</t>
  </si>
  <si>
    <t xml:space="preserve">J89</t>
  </si>
  <si>
    <t xml:space="preserve">K89</t>
  </si>
  <si>
    <t xml:space="preserve">L89</t>
  </si>
  <si>
    <t xml:space="preserve">F90</t>
  </si>
  <si>
    <t xml:space="preserve">G90</t>
  </si>
  <si>
    <t xml:space="preserve">H90</t>
  </si>
  <si>
    <t xml:space="preserve">I90</t>
  </si>
  <si>
    <t xml:space="preserve">L90</t>
  </si>
  <si>
    <t xml:space="preserve">B91</t>
  </si>
  <si>
    <t xml:space="preserve">Actividad con migrantes</t>
  </si>
  <si>
    <t xml:space="preserve">D91</t>
  </si>
  <si>
    <t xml:space="preserve">E91</t>
  </si>
  <si>
    <t xml:space="preserve">F91</t>
  </si>
  <si>
    <t xml:space="preserve">G91</t>
  </si>
  <si>
    <t xml:space="preserve">H91</t>
  </si>
  <si>
    <t xml:space="preserve">I91</t>
  </si>
  <si>
    <t xml:space="preserve">J91</t>
  </si>
  <si>
    <t xml:space="preserve">K91</t>
  </si>
  <si>
    <t xml:space="preserve">L91</t>
  </si>
  <si>
    <t xml:space="preserve">E56</t>
  </si>
  <si>
    <t xml:space="preserve">Estimulación desarrollo psicomotor</t>
  </si>
  <si>
    <t xml:space="preserve">F56</t>
  </si>
  <si>
    <t xml:space="preserve">Dos o más profesionales</t>
  </si>
  <si>
    <t xml:space="preserve">G56</t>
  </si>
  <si>
    <t xml:space="preserve">Un profesional y un técnico en enfermería</t>
  </si>
  <si>
    <t xml:space="preserve">H56</t>
  </si>
  <si>
    <t xml:space="preserve">Técnico en enfermería</t>
  </si>
  <si>
    <t xml:space="preserve">I56</t>
  </si>
  <si>
    <t xml:space="preserve">Facilitador/a intercultural pueblos originarios</t>
  </si>
  <si>
    <t xml:space="preserve">E57</t>
  </si>
  <si>
    <t xml:space="preserve">Nutrición — Riesgo de malnutrición por exceso</t>
  </si>
  <si>
    <t xml:space="preserve">F57</t>
  </si>
  <si>
    <t xml:space="preserve">G57</t>
  </si>
  <si>
    <t xml:space="preserve">H57</t>
  </si>
  <si>
    <t xml:space="preserve">I57</t>
  </si>
  <si>
    <t xml:space="preserve">E58</t>
  </si>
  <si>
    <t xml:space="preserve">Nutrición — Malnutrición por exceso</t>
  </si>
  <si>
    <t xml:space="preserve">F58</t>
  </si>
  <si>
    <t xml:space="preserve">G58</t>
  </si>
  <si>
    <t xml:space="preserve">H58</t>
  </si>
  <si>
    <t xml:space="preserve">I58</t>
  </si>
  <si>
    <t xml:space="preserve">E59</t>
  </si>
  <si>
    <t xml:space="preserve">Nutrición — Malnutrición de déficit</t>
  </si>
  <si>
    <t xml:space="preserve">F59</t>
  </si>
  <si>
    <t xml:space="preserve">G59</t>
  </si>
  <si>
    <t xml:space="preserve">H59</t>
  </si>
  <si>
    <t xml:space="preserve">I59</t>
  </si>
  <si>
    <t xml:space="preserve">E60</t>
  </si>
  <si>
    <t xml:space="preserve">Nutrición — Sin riesgo de malnutrición</t>
  </si>
  <si>
    <t xml:space="preserve">F60</t>
  </si>
  <si>
    <t xml:space="preserve">G60</t>
  </si>
  <si>
    <t xml:space="preserve">H60</t>
  </si>
  <si>
    <t xml:space="preserve">I60</t>
  </si>
  <si>
    <t xml:space="preserve">E61</t>
  </si>
  <si>
    <t xml:space="preserve">Prevención de IRA - ERA</t>
  </si>
  <si>
    <t xml:space="preserve">F61</t>
  </si>
  <si>
    <t xml:space="preserve">G61</t>
  </si>
  <si>
    <t xml:space="preserve">H61</t>
  </si>
  <si>
    <t xml:space="preserve">I61</t>
  </si>
  <si>
    <t xml:space="preserve">Prevención de accidentes</t>
  </si>
  <si>
    <t xml:space="preserve">Salud buco-dental</t>
  </si>
  <si>
    <t xml:space="preserve">Prevención violencia de género</t>
  </si>
  <si>
    <t xml:space="preserve">Salud sexual y reproductiva — Hombres</t>
  </si>
  <si>
    <t xml:space="preserve">Salud sexual y reproductiva — Mujeres</t>
  </si>
  <si>
    <t xml:space="preserve">Talleres de climaterio</t>
  </si>
  <si>
    <t xml:space="preserve">Educación prenatal</t>
  </si>
  <si>
    <t xml:space="preserve">Visita guiada a la maternidad — Primigesta</t>
  </si>
  <si>
    <t xml:space="preserve">Visita guiada a la maternidad — Multípara</t>
  </si>
  <si>
    <t xml:space="preserve">Promoción de salud mental</t>
  </si>
  <si>
    <t xml:space="preserve">Desarrollo infantil temprano — Lenguaje</t>
  </si>
  <si>
    <t xml:space="preserve">Desarrollo infantil temprano — Motor</t>
  </si>
  <si>
    <t xml:space="preserve">E74</t>
  </si>
  <si>
    <t xml:space="preserve">Desarrollo infantil temprano — Otros</t>
  </si>
  <si>
    <t xml:space="preserve">F74</t>
  </si>
  <si>
    <t xml:space="preserve">G74</t>
  </si>
  <si>
    <t xml:space="preserve">H74</t>
  </si>
  <si>
    <t xml:space="preserve">I74</t>
  </si>
  <si>
    <t xml:space="preserve">E75</t>
  </si>
  <si>
    <t xml:space="preserve">Habilidades parentales — Nadie es perfecto</t>
  </si>
  <si>
    <t xml:space="preserve">F75</t>
  </si>
  <si>
    <t xml:space="preserve">G75</t>
  </si>
  <si>
    <t xml:space="preserve">H75</t>
  </si>
  <si>
    <t xml:space="preserve">I75</t>
  </si>
  <si>
    <t xml:space="preserve">E76</t>
  </si>
  <si>
    <t xml:space="preserve">Habilidades parentales — Familias fuertes</t>
  </si>
  <si>
    <t xml:space="preserve">F76</t>
  </si>
  <si>
    <t xml:space="preserve">G76</t>
  </si>
  <si>
    <t xml:space="preserve">H76</t>
  </si>
  <si>
    <t xml:space="preserve">I76</t>
  </si>
  <si>
    <t xml:space="preserve">E77</t>
  </si>
  <si>
    <t xml:space="preserve">Habilidades parentales — Otros</t>
  </si>
  <si>
    <t xml:space="preserve">F77</t>
  </si>
  <si>
    <t xml:space="preserve">G77</t>
  </si>
  <si>
    <t xml:space="preserve">H77</t>
  </si>
  <si>
    <t xml:space="preserve">I77</t>
  </si>
  <si>
    <t xml:space="preserve">Apoyo madre a madre</t>
  </si>
  <si>
    <t xml:space="preserve">Prevención de salud mental — Suicidio</t>
  </si>
  <si>
    <t xml:space="preserve">Prevención de salud mental — Trastorno mental</t>
  </si>
  <si>
    <t xml:space="preserve">Prevención alcohol y drogas</t>
  </si>
  <si>
    <t xml:space="preserve">Antitabáquica (excluye REM 23)</t>
  </si>
  <si>
    <t xml:space="preserve">Prevención transmisión vertical VIH-Sífilis</t>
  </si>
  <si>
    <t xml:space="preserve">Adulto mayor — Estimulación de memoria</t>
  </si>
  <si>
    <t xml:space="preserve">Adulto mayor — Prevención de caídas</t>
  </si>
  <si>
    <t xml:space="preserve">Adulto mayor — Estimulación de actividad física</t>
  </si>
  <si>
    <t xml:space="preserve">Adulto mayor — Autocuidado</t>
  </si>
  <si>
    <t xml:space="preserve">Adulto mayor — Otras temáticas</t>
  </si>
  <si>
    <t xml:space="preserve">Uso racional de medicamentos</t>
  </si>
  <si>
    <t xml:space="preserve">Resistencia antimicrobianos</t>
  </si>
  <si>
    <t xml:space="preserve">E92</t>
  </si>
  <si>
    <t xml:space="preserve">Cuidadores PADDS — Autocuidado del cuidador/a</t>
  </si>
  <si>
    <t xml:space="preserve">F92</t>
  </si>
  <si>
    <t xml:space="preserve">G92</t>
  </si>
  <si>
    <t xml:space="preserve">H92</t>
  </si>
  <si>
    <t xml:space="preserve">I92</t>
  </si>
  <si>
    <t xml:space="preserve">E93</t>
  </si>
  <si>
    <t xml:space="preserve">Cuidadores PADDS — Cuidados de la persona con dependencia</t>
  </si>
  <si>
    <t xml:space="preserve">F93</t>
  </si>
  <si>
    <t xml:space="preserve">G93</t>
  </si>
  <si>
    <t xml:space="preserve">H93</t>
  </si>
  <si>
    <t xml:space="preserve">I93</t>
  </si>
  <si>
    <t xml:space="preserve">E94</t>
  </si>
  <si>
    <t xml:space="preserve">Cuidadores PADDS — Redes y sistemas de apoyo</t>
  </si>
  <si>
    <t xml:space="preserve">F94</t>
  </si>
  <si>
    <t xml:space="preserve">G94</t>
  </si>
  <si>
    <t xml:space="preserve">H94</t>
  </si>
  <si>
    <t xml:space="preserve">I94</t>
  </si>
  <si>
    <t xml:space="preserve">E95</t>
  </si>
  <si>
    <t xml:space="preserve">Cuidadores PADDS — Fin de vida y duelo</t>
  </si>
  <si>
    <t xml:space="preserve">F95</t>
  </si>
  <si>
    <t xml:space="preserve">G95</t>
  </si>
  <si>
    <t xml:space="preserve">H95</t>
  </si>
  <si>
    <t xml:space="preserve">I95</t>
  </si>
  <si>
    <t xml:space="preserve">E96</t>
  </si>
  <si>
    <t xml:space="preserve">Seguridad vial — Hombres</t>
  </si>
  <si>
    <t xml:space="preserve">F96</t>
  </si>
  <si>
    <t xml:space="preserve">G96</t>
  </si>
  <si>
    <t xml:space="preserve">H96</t>
  </si>
  <si>
    <t xml:space="preserve">I96</t>
  </si>
  <si>
    <t xml:space="preserve">E97</t>
  </si>
  <si>
    <t xml:space="preserve">Seguridad vial — Mujeres</t>
  </si>
  <si>
    <t xml:space="preserve">F97</t>
  </si>
  <si>
    <t xml:space="preserve">G97</t>
  </si>
  <si>
    <t xml:space="preserve">H97</t>
  </si>
  <si>
    <t xml:space="preserve">I97</t>
  </si>
  <si>
    <t xml:space="preserve">actividad</t>
  </si>
  <si>
    <t xml:space="preserve">logrado</t>
  </si>
  <si>
    <t xml:space="preserve">cumplimiento</t>
  </si>
  <si>
    <t xml:space="preserve">regla</t>
  </si>
  <si>
    <t xml:space="preserve">validación</t>
  </si>
  <si>
    <t xml:space="preserve">1 por actividad</t>
  </si>
  <si>
    <t xml:space="preserve">Pendiente</t>
  </si>
  <si>
    <t xml:space="preserve">Hombres + mujeres</t>
  </si>
  <si>
    <t xml:space="preserve">1 por taller</t>
  </si>
  <si>
    <t xml:space="preserve">Participantes</t>
  </si>
  <si>
    <t xml:space="preserve">Sesiones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</si>
</sst>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4C7E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E4C7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D547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5D54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D547"/>
      <rgbColor rgb="FFFF9900"/>
      <rgbColor rgb="FFFF6600"/>
      <rgbColor rgb="FF666699"/>
      <rgbColor rgb="FF969696"/>
      <rgbColor rgb="FF0E4C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3.8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8"/>
    <col collapsed="false" customWidth="true" hidden="false" outlineLevel="0" max="11" min="9" style="0" width="9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8" min="16" style="0" width="9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30"/>
    <col collapsed="false" customWidth="true" hidden="false" outlineLevel="0" max="22" min="22" style="0" width="2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</row>
    <row r="2" customFormat="false" ht="15" hidden="false" customHeight="false" outlineLevel="0" collapsed="false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n">
        <v>1</v>
      </c>
      <c r="J2" s="5" t="n">
        <v>48</v>
      </c>
      <c r="K2" s="5" t="n">
        <v>71</v>
      </c>
      <c r="L2" s="5" t="n">
        <f aca="false">J2+K2</f>
        <v>119</v>
      </c>
      <c r="M2" s="5" t="n">
        <v>9</v>
      </c>
      <c r="N2" s="5" t="n">
        <v>22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100</v>
      </c>
      <c r="U2" s="5" t="s">
        <v>44</v>
      </c>
      <c r="V2" s="5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38</v>
      </c>
      <c r="D3" s="5" t="s">
        <v>39</v>
      </c>
      <c r="E3" s="5" t="s">
        <v>47</v>
      </c>
      <c r="F3" s="5" t="s">
        <v>48</v>
      </c>
      <c r="G3" s="5" t="s">
        <v>49</v>
      </c>
      <c r="H3" s="5" t="s">
        <v>43</v>
      </c>
      <c r="I3" s="5" t="n">
        <v>1</v>
      </c>
      <c r="J3" s="5" t="n">
        <v>4</v>
      </c>
      <c r="K3" s="5" t="n">
        <v>11</v>
      </c>
      <c r="L3" s="5" t="n">
        <f aca="false">J3+K3</f>
        <v>15</v>
      </c>
      <c r="M3" s="5" t="n">
        <v>2</v>
      </c>
      <c r="N3" s="5" t="n">
        <v>3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12</v>
      </c>
      <c r="U3" s="5" t="s">
        <v>44</v>
      </c>
      <c r="V3" s="5"/>
    </row>
    <row r="4" customFormat="false" ht="15" hidden="false" customHeight="false" outlineLevel="0" collapsed="false">
      <c r="A4" s="5" t="s">
        <v>50</v>
      </c>
      <c r="B4" s="5" t="s">
        <v>51</v>
      </c>
      <c r="C4" s="5" t="s">
        <v>38</v>
      </c>
      <c r="D4" s="5" t="s">
        <v>39</v>
      </c>
      <c r="E4" s="5" t="s">
        <v>52</v>
      </c>
      <c r="F4" s="5" t="s">
        <v>53</v>
      </c>
      <c r="G4" s="5" t="s">
        <v>54</v>
      </c>
      <c r="H4" s="5" t="s">
        <v>55</v>
      </c>
      <c r="I4" s="5" t="n">
        <v>4</v>
      </c>
      <c r="J4" s="5" t="n">
        <v>6</v>
      </c>
      <c r="K4" s="5" t="n">
        <v>9</v>
      </c>
      <c r="L4" s="5" t="n">
        <f aca="false">J4+K4</f>
        <v>15</v>
      </c>
      <c r="M4" s="5" t="n">
        <v>1</v>
      </c>
      <c r="N4" s="5" t="n">
        <v>4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15</v>
      </c>
      <c r="U4" s="5" t="s">
        <v>44</v>
      </c>
      <c r="V4" s="5"/>
    </row>
    <row r="5" customFormat="false" ht="15" hidden="false" customHeight="false" outlineLevel="0" collapsed="false">
      <c r="A5" s="5" t="s">
        <v>56</v>
      </c>
      <c r="B5" s="5" t="s">
        <v>57</v>
      </c>
      <c r="C5" s="5" t="s">
        <v>38</v>
      </c>
      <c r="D5" s="5" t="s">
        <v>39</v>
      </c>
      <c r="E5" s="5" t="s">
        <v>58</v>
      </c>
      <c r="F5" s="5" t="s">
        <v>59</v>
      </c>
      <c r="G5" s="5" t="s">
        <v>60</v>
      </c>
      <c r="H5" s="5" t="s">
        <v>60</v>
      </c>
      <c r="I5" s="5" t="n">
        <v>1</v>
      </c>
      <c r="J5" s="5" t="n">
        <v>5</v>
      </c>
      <c r="K5" s="5" t="n">
        <v>8</v>
      </c>
      <c r="L5" s="5" t="n">
        <f aca="false">J5+K5</f>
        <v>13</v>
      </c>
      <c r="M5" s="5" t="n">
        <v>1</v>
      </c>
      <c r="N5" s="5" t="n">
        <v>2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</v>
      </c>
      <c r="U5" s="5" t="s">
        <v>44</v>
      </c>
      <c r="V5" s="5"/>
    </row>
    <row r="6" customFormat="false" ht="15" hidden="false" customHeight="false" outlineLevel="0" collapsed="false">
      <c r="A6" s="5" t="s">
        <v>61</v>
      </c>
      <c r="B6" s="5" t="s">
        <v>62</v>
      </c>
      <c r="C6" s="5" t="s">
        <v>38</v>
      </c>
      <c r="D6" s="5" t="s">
        <v>39</v>
      </c>
      <c r="E6" s="5" t="s">
        <v>63</v>
      </c>
      <c r="F6" s="5" t="s">
        <v>64</v>
      </c>
      <c r="G6" s="5" t="s">
        <v>65</v>
      </c>
      <c r="H6" s="5" t="s">
        <v>60</v>
      </c>
      <c r="I6" s="5" t="n">
        <v>1</v>
      </c>
      <c r="J6" s="5" t="n">
        <v>12</v>
      </c>
      <c r="K6" s="5" t="n">
        <v>19</v>
      </c>
      <c r="L6" s="5" t="n">
        <f aca="false">J6+K6</f>
        <v>31</v>
      </c>
      <c r="M6" s="5" t="n">
        <v>27</v>
      </c>
      <c r="N6" s="5" t="n">
        <v>3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25</v>
      </c>
      <c r="U6" s="5" t="s">
        <v>44</v>
      </c>
      <c r="V6" s="5"/>
    </row>
    <row r="7" customFormat="false" ht="15" hidden="false" customHeight="false" outlineLevel="0" collapsed="false">
      <c r="A7" s="5" t="s">
        <v>66</v>
      </c>
      <c r="B7" s="5" t="s">
        <v>67</v>
      </c>
      <c r="C7" s="5" t="s">
        <v>38</v>
      </c>
      <c r="D7" s="5" t="s">
        <v>39</v>
      </c>
      <c r="E7" s="5" t="s">
        <v>68</v>
      </c>
      <c r="F7" s="5" t="s">
        <v>69</v>
      </c>
      <c r="G7" s="5" t="s">
        <v>70</v>
      </c>
      <c r="H7" s="5" t="s">
        <v>71</v>
      </c>
      <c r="I7" s="5" t="n">
        <v>1</v>
      </c>
      <c r="J7" s="5" t="n">
        <v>0</v>
      </c>
      <c r="K7" s="5" t="n">
        <v>0</v>
      </c>
      <c r="L7" s="5" t="n">
        <f aca="false">J7+K7</f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s">
        <v>44</v>
      </c>
      <c r="V7" s="5"/>
    </row>
    <row r="8" customFormat="false" ht="15" hidden="false" customHeight="false" outlineLevel="0" collapsed="false">
      <c r="A8" s="5" t="s">
        <v>72</v>
      </c>
      <c r="B8" s="5" t="s">
        <v>73</v>
      </c>
      <c r="C8" s="5" t="s">
        <v>74</v>
      </c>
      <c r="D8" s="5" t="s">
        <v>75</v>
      </c>
      <c r="E8" s="5" t="s">
        <v>76</v>
      </c>
      <c r="F8" s="5" t="s">
        <v>77</v>
      </c>
      <c r="G8" s="5" t="s">
        <v>60</v>
      </c>
      <c r="H8" s="5" t="s">
        <v>60</v>
      </c>
      <c r="I8" s="5" t="n">
        <v>1</v>
      </c>
      <c r="J8" s="5" t="n">
        <v>0</v>
      </c>
      <c r="K8" s="5" t="n">
        <v>0</v>
      </c>
      <c r="L8" s="5" t="n">
        <f aca="false">J8+K8</f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80</v>
      </c>
      <c r="U8" s="5" t="s">
        <v>44</v>
      </c>
      <c r="V8" s="5"/>
    </row>
    <row r="9" customFormat="false" ht="15" hidden="false" customHeight="false" outlineLevel="0" collapsed="false">
      <c r="A9" s="5" t="s">
        <v>78</v>
      </c>
      <c r="B9" s="5" t="s">
        <v>79</v>
      </c>
      <c r="C9" s="5" t="s">
        <v>74</v>
      </c>
      <c r="D9" s="5" t="s">
        <v>75</v>
      </c>
      <c r="E9" s="5" t="s">
        <v>80</v>
      </c>
      <c r="F9" s="5" t="s">
        <v>81</v>
      </c>
      <c r="G9" s="5" t="s">
        <v>82</v>
      </c>
      <c r="H9" s="5" t="s">
        <v>43</v>
      </c>
      <c r="I9" s="5" t="n">
        <v>3</v>
      </c>
      <c r="J9" s="5" t="n">
        <v>0</v>
      </c>
      <c r="K9" s="5" t="n">
        <v>0</v>
      </c>
      <c r="L9" s="5" t="n">
        <f aca="false">J9+K9</f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15</v>
      </c>
      <c r="U9" s="5" t="s">
        <v>44</v>
      </c>
      <c r="V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45"/>
    <col collapsed="false" customWidth="true" hidden="false" outlineLevel="0" max="8" min="8" style="0" width="40"/>
    <col collapsed="false" customWidth="true" hidden="false" outlineLevel="0" max="9" min="9" style="0" width="8"/>
  </cols>
  <sheetData>
    <row r="1" customFormat="false" ht="30" hidden="false" customHeight="true" outlineLevel="0" collapsed="false">
      <c r="A1" s="4" t="s">
        <v>14</v>
      </c>
      <c r="B1" s="4" t="s">
        <v>16</v>
      </c>
      <c r="C1" s="4" t="s">
        <v>17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</row>
    <row r="2" customFormat="false" ht="15" hidden="false" customHeight="false" outlineLevel="0" collapsed="false">
      <c r="A2" s="5" t="s">
        <v>36</v>
      </c>
      <c r="B2" s="5" t="s">
        <v>38</v>
      </c>
      <c r="C2" s="5" t="s">
        <v>39</v>
      </c>
      <c r="D2" s="5" t="s">
        <v>89</v>
      </c>
      <c r="E2" s="5" t="s">
        <v>90</v>
      </c>
      <c r="F2" s="5" t="s">
        <v>91</v>
      </c>
      <c r="G2" s="5" t="s">
        <v>92</v>
      </c>
      <c r="H2" s="5" t="s">
        <v>93</v>
      </c>
      <c r="I2" s="5" t="n">
        <v>1</v>
      </c>
    </row>
    <row r="3" customFormat="false" ht="15" hidden="false" customHeight="false" outlineLevel="0" collapsed="false">
      <c r="A3" s="5" t="s">
        <v>36</v>
      </c>
      <c r="B3" s="5" t="s">
        <v>38</v>
      </c>
      <c r="C3" s="5" t="s">
        <v>39</v>
      </c>
      <c r="D3" s="5" t="s">
        <v>89</v>
      </c>
      <c r="E3" s="5" t="s">
        <v>90</v>
      </c>
      <c r="F3" s="5" t="s">
        <v>94</v>
      </c>
      <c r="G3" s="5" t="s">
        <v>92</v>
      </c>
      <c r="H3" s="5" t="s">
        <v>95</v>
      </c>
      <c r="I3" s="5" t="n">
        <v>119</v>
      </c>
    </row>
    <row r="4" customFormat="false" ht="15" hidden="false" customHeight="false" outlineLevel="0" collapsed="false">
      <c r="A4" s="5" t="s">
        <v>45</v>
      </c>
      <c r="B4" s="5" t="s">
        <v>38</v>
      </c>
      <c r="C4" s="5" t="s">
        <v>39</v>
      </c>
      <c r="D4" s="5" t="s">
        <v>89</v>
      </c>
      <c r="E4" s="5" t="s">
        <v>90</v>
      </c>
      <c r="F4" s="5" t="s">
        <v>96</v>
      </c>
      <c r="G4" s="5" t="s">
        <v>97</v>
      </c>
      <c r="H4" s="5" t="s">
        <v>98</v>
      </c>
      <c r="I4" s="5" t="n">
        <v>1</v>
      </c>
    </row>
    <row r="5" customFormat="false" ht="15" hidden="false" customHeight="false" outlineLevel="0" collapsed="false">
      <c r="A5" s="5" t="s">
        <v>45</v>
      </c>
      <c r="B5" s="5" t="s">
        <v>38</v>
      </c>
      <c r="C5" s="5" t="s">
        <v>39</v>
      </c>
      <c r="D5" s="5" t="s">
        <v>89</v>
      </c>
      <c r="E5" s="5" t="s">
        <v>90</v>
      </c>
      <c r="F5" s="5" t="s">
        <v>99</v>
      </c>
      <c r="G5" s="5" t="s">
        <v>97</v>
      </c>
      <c r="H5" s="5" t="s">
        <v>95</v>
      </c>
      <c r="I5" s="5" t="n">
        <v>15</v>
      </c>
    </row>
    <row r="6" customFormat="false" ht="15" hidden="false" customHeight="false" outlineLevel="0" collapsed="false">
      <c r="A6" s="5" t="s">
        <v>45</v>
      </c>
      <c r="B6" s="5" t="s">
        <v>38</v>
      </c>
      <c r="C6" s="5" t="s">
        <v>39</v>
      </c>
      <c r="D6" s="5" t="s">
        <v>100</v>
      </c>
      <c r="E6" s="5" t="s">
        <v>101</v>
      </c>
      <c r="F6" s="5" t="s">
        <v>102</v>
      </c>
      <c r="G6" s="5" t="s">
        <v>103</v>
      </c>
      <c r="H6" s="5" t="s">
        <v>104</v>
      </c>
      <c r="I6" s="5" t="n">
        <v>1</v>
      </c>
    </row>
    <row r="7" customFormat="false" ht="15" hidden="false" customHeight="false" outlineLevel="0" collapsed="false">
      <c r="A7" s="5" t="s">
        <v>50</v>
      </c>
      <c r="B7" s="5" t="s">
        <v>38</v>
      </c>
      <c r="C7" s="5" t="s">
        <v>39</v>
      </c>
      <c r="D7" s="5" t="s">
        <v>89</v>
      </c>
      <c r="E7" s="5" t="s">
        <v>105</v>
      </c>
      <c r="F7" s="5" t="s">
        <v>106</v>
      </c>
      <c r="G7" s="5" t="s">
        <v>107</v>
      </c>
      <c r="H7" s="5" t="s">
        <v>108</v>
      </c>
      <c r="I7" s="5" t="n">
        <v>1</v>
      </c>
    </row>
    <row r="8" customFormat="false" ht="15" hidden="false" customHeight="false" outlineLevel="0" collapsed="false">
      <c r="A8" s="5" t="s">
        <v>56</v>
      </c>
      <c r="B8" s="5" t="s">
        <v>38</v>
      </c>
      <c r="C8" s="5" t="s">
        <v>39</v>
      </c>
      <c r="D8" s="5" t="s">
        <v>109</v>
      </c>
      <c r="E8" s="5" t="s">
        <v>90</v>
      </c>
      <c r="F8" s="5" t="s">
        <v>110</v>
      </c>
      <c r="G8" s="5" t="s">
        <v>111</v>
      </c>
      <c r="H8" s="5" t="s">
        <v>112</v>
      </c>
      <c r="I8" s="5" t="n">
        <v>1</v>
      </c>
    </row>
    <row r="9" customFormat="false" ht="15" hidden="false" customHeight="false" outlineLevel="0" collapsed="false">
      <c r="A9" s="5" t="s">
        <v>56</v>
      </c>
      <c r="B9" s="5" t="s">
        <v>38</v>
      </c>
      <c r="C9" s="5" t="s">
        <v>39</v>
      </c>
      <c r="D9" s="5" t="s">
        <v>109</v>
      </c>
      <c r="E9" s="5" t="s">
        <v>90</v>
      </c>
      <c r="F9" s="5" t="s">
        <v>113</v>
      </c>
      <c r="G9" s="5" t="s">
        <v>111</v>
      </c>
      <c r="H9" s="5" t="s">
        <v>114</v>
      </c>
      <c r="I9" s="5" t="n">
        <v>5</v>
      </c>
    </row>
    <row r="10" customFormat="false" ht="15" hidden="false" customHeight="false" outlineLevel="0" collapsed="false">
      <c r="A10" s="5" t="s">
        <v>56</v>
      </c>
      <c r="B10" s="5" t="s">
        <v>38</v>
      </c>
      <c r="C10" s="5" t="s">
        <v>39</v>
      </c>
      <c r="D10" s="5" t="s">
        <v>109</v>
      </c>
      <c r="E10" s="5" t="s">
        <v>90</v>
      </c>
      <c r="F10" s="5" t="s">
        <v>115</v>
      </c>
      <c r="G10" s="5" t="s">
        <v>111</v>
      </c>
      <c r="H10" s="5" t="s">
        <v>116</v>
      </c>
      <c r="I10" s="5" t="n">
        <v>8</v>
      </c>
    </row>
    <row r="11" customFormat="false" ht="15" hidden="false" customHeight="false" outlineLevel="0" collapsed="false">
      <c r="A11" s="5" t="s">
        <v>56</v>
      </c>
      <c r="B11" s="5" t="s">
        <v>38</v>
      </c>
      <c r="C11" s="5" t="s">
        <v>39</v>
      </c>
      <c r="D11" s="5" t="s">
        <v>109</v>
      </c>
      <c r="E11" s="5" t="s">
        <v>90</v>
      </c>
      <c r="F11" s="5" t="s">
        <v>117</v>
      </c>
      <c r="G11" s="5" t="s">
        <v>111</v>
      </c>
      <c r="H11" s="5" t="s">
        <v>118</v>
      </c>
      <c r="I11" s="5" t="n">
        <v>1</v>
      </c>
    </row>
    <row r="12" customFormat="false" ht="15" hidden="false" customHeight="false" outlineLevel="0" collapsed="false">
      <c r="A12" s="5" t="s">
        <v>56</v>
      </c>
      <c r="B12" s="5" t="s">
        <v>38</v>
      </c>
      <c r="C12" s="5" t="s">
        <v>39</v>
      </c>
      <c r="D12" s="5" t="s">
        <v>109</v>
      </c>
      <c r="E12" s="5" t="s">
        <v>90</v>
      </c>
      <c r="F12" s="5" t="s">
        <v>119</v>
      </c>
      <c r="G12" s="5" t="s">
        <v>111</v>
      </c>
      <c r="H12" s="5" t="s">
        <v>120</v>
      </c>
      <c r="I12" s="5" t="n">
        <v>2</v>
      </c>
    </row>
    <row r="13" customFormat="false" ht="15" hidden="false" customHeight="false" outlineLevel="0" collapsed="false">
      <c r="A13" s="5" t="s">
        <v>61</v>
      </c>
      <c r="B13" s="5" t="s">
        <v>38</v>
      </c>
      <c r="C13" s="5" t="s">
        <v>39</v>
      </c>
      <c r="D13" s="5" t="s">
        <v>109</v>
      </c>
      <c r="E13" s="5" t="s">
        <v>90</v>
      </c>
      <c r="F13" s="5" t="s">
        <v>121</v>
      </c>
      <c r="G13" s="5" t="s">
        <v>122</v>
      </c>
      <c r="H13" s="5" t="s">
        <v>123</v>
      </c>
      <c r="I13" s="5" t="n">
        <v>1</v>
      </c>
    </row>
    <row r="14" customFormat="false" ht="15" hidden="false" customHeight="false" outlineLevel="0" collapsed="false">
      <c r="A14" s="5" t="s">
        <v>61</v>
      </c>
      <c r="B14" s="5" t="s">
        <v>38</v>
      </c>
      <c r="C14" s="5" t="s">
        <v>39</v>
      </c>
      <c r="D14" s="5" t="s">
        <v>109</v>
      </c>
      <c r="E14" s="5" t="s">
        <v>90</v>
      </c>
      <c r="F14" s="5" t="s">
        <v>124</v>
      </c>
      <c r="G14" s="5" t="s">
        <v>122</v>
      </c>
      <c r="H14" s="5" t="s">
        <v>114</v>
      </c>
      <c r="I14" s="5" t="n">
        <v>12</v>
      </c>
    </row>
    <row r="15" customFormat="false" ht="15" hidden="false" customHeight="false" outlineLevel="0" collapsed="false">
      <c r="A15" s="5" t="s">
        <v>61</v>
      </c>
      <c r="B15" s="5" t="s">
        <v>38</v>
      </c>
      <c r="C15" s="5" t="s">
        <v>39</v>
      </c>
      <c r="D15" s="5" t="s">
        <v>109</v>
      </c>
      <c r="E15" s="5" t="s">
        <v>90</v>
      </c>
      <c r="F15" s="5" t="s">
        <v>125</v>
      </c>
      <c r="G15" s="5" t="s">
        <v>122</v>
      </c>
      <c r="H15" s="5" t="s">
        <v>116</v>
      </c>
      <c r="I15" s="5" t="n">
        <v>19</v>
      </c>
    </row>
    <row r="16" customFormat="false" ht="15" hidden="false" customHeight="false" outlineLevel="0" collapsed="false">
      <c r="A16" s="5" t="s">
        <v>61</v>
      </c>
      <c r="B16" s="5" t="s">
        <v>38</v>
      </c>
      <c r="C16" s="5" t="s">
        <v>39</v>
      </c>
      <c r="D16" s="5" t="s">
        <v>109</v>
      </c>
      <c r="E16" s="5" t="s">
        <v>90</v>
      </c>
      <c r="F16" s="5" t="s">
        <v>126</v>
      </c>
      <c r="G16" s="5" t="s">
        <v>122</v>
      </c>
      <c r="H16" s="5" t="s">
        <v>118</v>
      </c>
      <c r="I16" s="5" t="n">
        <v>27</v>
      </c>
    </row>
    <row r="17" customFormat="false" ht="15" hidden="false" customHeight="false" outlineLevel="0" collapsed="false">
      <c r="A17" s="5" t="s">
        <v>61</v>
      </c>
      <c r="B17" s="5" t="s">
        <v>38</v>
      </c>
      <c r="C17" s="5" t="s">
        <v>39</v>
      </c>
      <c r="D17" s="5" t="s">
        <v>109</v>
      </c>
      <c r="E17" s="5" t="s">
        <v>90</v>
      </c>
      <c r="F17" s="5" t="s">
        <v>127</v>
      </c>
      <c r="G17" s="5" t="s">
        <v>122</v>
      </c>
      <c r="H17" s="5" t="s">
        <v>120</v>
      </c>
      <c r="I17" s="5" t="n">
        <v>3</v>
      </c>
    </row>
    <row r="18" customFormat="false" ht="15" hidden="false" customHeight="false" outlineLevel="0" collapsed="false">
      <c r="A18" s="5" t="s">
        <v>61</v>
      </c>
      <c r="B18" s="5" t="s">
        <v>38</v>
      </c>
      <c r="C18" s="5" t="s">
        <v>39</v>
      </c>
      <c r="D18" s="5" t="s">
        <v>109</v>
      </c>
      <c r="E18" s="5" t="s">
        <v>105</v>
      </c>
      <c r="F18" s="5" t="s">
        <v>128</v>
      </c>
      <c r="G18" s="5" t="s">
        <v>129</v>
      </c>
      <c r="H18" s="5" t="s">
        <v>130</v>
      </c>
      <c r="I18" s="5" t="n">
        <v>1</v>
      </c>
    </row>
    <row r="19" customFormat="false" ht="15" hidden="false" customHeight="false" outlineLevel="0" collapsed="false">
      <c r="A19" s="5" t="s">
        <v>61</v>
      </c>
      <c r="B19" s="5" t="s">
        <v>38</v>
      </c>
      <c r="C19" s="5" t="s">
        <v>39</v>
      </c>
      <c r="D19" s="5" t="s">
        <v>109</v>
      </c>
      <c r="E19" s="5" t="s">
        <v>105</v>
      </c>
      <c r="F19" s="5" t="s">
        <v>131</v>
      </c>
      <c r="G19" s="5" t="s">
        <v>129</v>
      </c>
      <c r="H19" s="5" t="s">
        <v>114</v>
      </c>
      <c r="I19" s="5" t="n">
        <v>12</v>
      </c>
    </row>
    <row r="20" customFormat="false" ht="15" hidden="false" customHeight="false" outlineLevel="0" collapsed="false">
      <c r="A20" s="5" t="s">
        <v>61</v>
      </c>
      <c r="B20" s="5" t="s">
        <v>38</v>
      </c>
      <c r="C20" s="5" t="s">
        <v>39</v>
      </c>
      <c r="D20" s="5" t="s">
        <v>109</v>
      </c>
      <c r="E20" s="5" t="s">
        <v>105</v>
      </c>
      <c r="F20" s="5" t="s">
        <v>132</v>
      </c>
      <c r="G20" s="5" t="s">
        <v>129</v>
      </c>
      <c r="H20" s="5" t="s">
        <v>116</v>
      </c>
      <c r="I20" s="5" t="n">
        <v>19</v>
      </c>
    </row>
    <row r="21" customFormat="false" ht="15" hidden="false" customHeight="false" outlineLevel="0" collapsed="false">
      <c r="A21" s="5" t="s">
        <v>61</v>
      </c>
      <c r="B21" s="5" t="s">
        <v>38</v>
      </c>
      <c r="C21" s="5" t="s">
        <v>39</v>
      </c>
      <c r="D21" s="5" t="s">
        <v>109</v>
      </c>
      <c r="E21" s="5" t="s">
        <v>105</v>
      </c>
      <c r="F21" s="5" t="s">
        <v>133</v>
      </c>
      <c r="G21" s="5" t="s">
        <v>129</v>
      </c>
      <c r="H21" s="5" t="s">
        <v>118</v>
      </c>
      <c r="I21" s="5" t="n">
        <v>27</v>
      </c>
    </row>
    <row r="22" customFormat="false" ht="15" hidden="false" customHeight="false" outlineLevel="0" collapsed="false">
      <c r="A22" s="5" t="s">
        <v>61</v>
      </c>
      <c r="B22" s="5" t="s">
        <v>38</v>
      </c>
      <c r="C22" s="5" t="s">
        <v>39</v>
      </c>
      <c r="D22" s="5" t="s">
        <v>109</v>
      </c>
      <c r="E22" s="5" t="s">
        <v>105</v>
      </c>
      <c r="F22" s="5" t="s">
        <v>134</v>
      </c>
      <c r="G22" s="5" t="s">
        <v>129</v>
      </c>
      <c r="H22" s="5" t="s">
        <v>120</v>
      </c>
      <c r="I22" s="5" t="n">
        <v>3</v>
      </c>
    </row>
    <row r="23" customFormat="false" ht="15" hidden="false" customHeight="false" outlineLevel="0" collapsed="false">
      <c r="A23" s="5" t="s">
        <v>66</v>
      </c>
      <c r="B23" s="5" t="s">
        <v>38</v>
      </c>
      <c r="C23" s="5" t="s">
        <v>39</v>
      </c>
      <c r="D23" s="5" t="s">
        <v>89</v>
      </c>
      <c r="E23" s="5" t="s">
        <v>135</v>
      </c>
      <c r="F23" s="5" t="s">
        <v>136</v>
      </c>
      <c r="G23" s="5" t="s">
        <v>137</v>
      </c>
      <c r="H23" s="5" t="s">
        <v>138</v>
      </c>
      <c r="I23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48"/>
    <col collapsed="false" customWidth="true" hidden="false" outlineLevel="0" max="5" min="5" style="0" width="42"/>
    <col collapsed="false" customWidth="true" hidden="false" outlineLevel="0" max="6" min="6" style="0" width="9"/>
  </cols>
  <sheetData>
    <row r="1" customFormat="false" ht="15" hidden="false" customHeight="false" outlineLevel="0" collapsed="false">
      <c r="A1" s="6" t="s">
        <v>139</v>
      </c>
      <c r="B1" s="7" t="s">
        <v>38</v>
      </c>
      <c r="C1" s="6" t="s">
        <v>140</v>
      </c>
      <c r="D1" s="8" t="n">
        <f aca="false">COUNTIF(F4:F923,"&gt;0")</f>
        <v>22</v>
      </c>
    </row>
    <row r="3" customFormat="false" ht="15" hidden="false" customHeight="false" outlineLevel="0" collapsed="false">
      <c r="A3" s="9" t="s">
        <v>83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</row>
    <row r="4" customFormat="false" ht="15" hidden="false" customHeight="false" outlineLevel="0" collapsed="false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10" t="n">
        <f aca="false">SUMIFS(Salidas_REM!$I:$I,Salidas_REM!$D:$D,A4,Salidas_REM!$F:$F,C4,Salidas_REM!$B:$B,$B$1,Salidas_REM!$C:$C,"Realizada")</f>
        <v>1</v>
      </c>
    </row>
    <row r="5" customFormat="false" ht="15" hidden="false" customHeight="false" outlineLevel="0" collapsed="false">
      <c r="A5" s="5" t="s">
        <v>89</v>
      </c>
      <c r="B5" s="5" t="s">
        <v>90</v>
      </c>
      <c r="C5" s="5" t="s">
        <v>141</v>
      </c>
      <c r="D5" s="5" t="s">
        <v>92</v>
      </c>
      <c r="E5" s="5" t="s">
        <v>98</v>
      </c>
      <c r="F5" s="10" t="n">
        <f aca="false">SUMIFS(Salidas_REM!$I:$I,Salidas_REM!$D:$D,A5,Salidas_REM!$F:$F,C5,Salidas_REM!$B:$B,$B$1,Salidas_REM!$C:$C,"Realizada")</f>
        <v>0</v>
      </c>
    </row>
    <row r="6" customFormat="false" ht="15" hidden="false" customHeight="false" outlineLevel="0" collapsed="false">
      <c r="A6" s="5" t="s">
        <v>89</v>
      </c>
      <c r="B6" s="5" t="s">
        <v>90</v>
      </c>
      <c r="C6" s="5" t="s">
        <v>142</v>
      </c>
      <c r="D6" s="5" t="s">
        <v>92</v>
      </c>
      <c r="E6" s="5" t="s">
        <v>143</v>
      </c>
      <c r="F6" s="10" t="n">
        <f aca="false">SUMIFS(Salidas_REM!$I:$I,Salidas_REM!$D:$D,A6,Salidas_REM!$F:$F,C6,Salidas_REM!$B:$B,$B$1,Salidas_REM!$C:$C,"Realizada")</f>
        <v>0</v>
      </c>
    </row>
    <row r="7" customFormat="false" ht="15" hidden="false" customHeight="false" outlineLevel="0" collapsed="false">
      <c r="A7" s="5" t="s">
        <v>89</v>
      </c>
      <c r="B7" s="5" t="s">
        <v>90</v>
      </c>
      <c r="C7" s="5" t="s">
        <v>144</v>
      </c>
      <c r="D7" s="5" t="s">
        <v>92</v>
      </c>
      <c r="E7" s="5" t="s">
        <v>145</v>
      </c>
      <c r="F7" s="10" t="n">
        <f aca="false">SUMIFS(Salidas_REM!$I:$I,Salidas_REM!$D:$D,A7,Salidas_REM!$F:$F,C7,Salidas_REM!$B:$B,$B$1,Salidas_REM!$C:$C,"Realizada")</f>
        <v>0</v>
      </c>
    </row>
    <row r="8" customFormat="false" ht="15" hidden="false" customHeight="false" outlineLevel="0" collapsed="false">
      <c r="A8" s="5" t="s">
        <v>89</v>
      </c>
      <c r="B8" s="5" t="s">
        <v>90</v>
      </c>
      <c r="C8" s="5" t="s">
        <v>146</v>
      </c>
      <c r="D8" s="5" t="s">
        <v>92</v>
      </c>
      <c r="E8" s="5" t="s">
        <v>147</v>
      </c>
      <c r="F8" s="10" t="n">
        <f aca="false">SUMIFS(Salidas_REM!$I:$I,Salidas_REM!$D:$D,A8,Salidas_REM!$F:$F,C8,Salidas_REM!$B:$B,$B$1,Salidas_REM!$C:$C,"Realizada")</f>
        <v>0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s">
        <v>148</v>
      </c>
      <c r="D9" s="5" t="s">
        <v>92</v>
      </c>
      <c r="E9" s="5" t="s">
        <v>149</v>
      </c>
      <c r="F9" s="10" t="n">
        <f aca="false">SUMIFS(Salidas_REM!$I:$I,Salidas_REM!$D:$D,A9,Salidas_REM!$F:$F,C9,Salidas_REM!$B:$B,$B$1,Salidas_REM!$C:$C,"Realizada")</f>
        <v>0</v>
      </c>
    </row>
    <row r="10" customFormat="false" ht="15" hidden="false" customHeight="false" outlineLevel="0" collapsed="false">
      <c r="A10" s="5" t="s">
        <v>89</v>
      </c>
      <c r="B10" s="5" t="s">
        <v>90</v>
      </c>
      <c r="C10" s="5" t="s">
        <v>150</v>
      </c>
      <c r="D10" s="5" t="s">
        <v>92</v>
      </c>
      <c r="E10" s="5" t="s">
        <v>151</v>
      </c>
      <c r="F10" s="10" t="n">
        <f aca="false">SUMIFS(Salidas_REM!$I:$I,Salidas_REM!$D:$D,A10,Salidas_REM!$F:$F,C10,Salidas_REM!$B:$B,$B$1,Salidas_REM!$C:$C,"Realizada")</f>
        <v>0</v>
      </c>
    </row>
    <row r="11" customFormat="false" ht="15" hidden="false" customHeight="false" outlineLevel="0" collapsed="false">
      <c r="A11" s="5" t="s">
        <v>89</v>
      </c>
      <c r="B11" s="5" t="s">
        <v>90</v>
      </c>
      <c r="C11" s="5" t="s">
        <v>152</v>
      </c>
      <c r="D11" s="5" t="s">
        <v>92</v>
      </c>
      <c r="E11" s="5" t="s">
        <v>153</v>
      </c>
      <c r="F11" s="10" t="n">
        <f aca="false">SUMIFS(Salidas_REM!$I:$I,Salidas_REM!$D:$D,A11,Salidas_REM!$F:$F,C11,Salidas_REM!$B:$B,$B$1,Salidas_REM!$C:$C,"Realizada")</f>
        <v>0</v>
      </c>
    </row>
    <row r="12" customFormat="false" ht="15" hidden="false" customHeight="false" outlineLevel="0" collapsed="false">
      <c r="A12" s="5" t="s">
        <v>89</v>
      </c>
      <c r="B12" s="5" t="s">
        <v>90</v>
      </c>
      <c r="C12" s="5" t="s">
        <v>154</v>
      </c>
      <c r="D12" s="5" t="s">
        <v>92</v>
      </c>
      <c r="E12" s="5" t="s">
        <v>155</v>
      </c>
      <c r="F12" s="10" t="n">
        <f aca="false">SUMIFS(Salidas_REM!$I:$I,Salidas_REM!$D:$D,A12,Salidas_REM!$F:$F,C12,Salidas_REM!$B:$B,$B$1,Salidas_REM!$C:$C,"Realizada")</f>
        <v>0</v>
      </c>
    </row>
    <row r="13" customFormat="false" ht="15" hidden="false" customHeight="false" outlineLevel="0" collapsed="false">
      <c r="A13" s="5" t="s">
        <v>89</v>
      </c>
      <c r="B13" s="5" t="s">
        <v>90</v>
      </c>
      <c r="C13" s="5" t="s">
        <v>156</v>
      </c>
      <c r="D13" s="5" t="s">
        <v>92</v>
      </c>
      <c r="E13" s="5" t="s">
        <v>157</v>
      </c>
      <c r="F13" s="10" t="n">
        <f aca="false">SUMIFS(Salidas_REM!$I:$I,Salidas_REM!$D:$D,A13,Salidas_REM!$F:$F,C13,Salidas_REM!$B:$B,$B$1,Salidas_REM!$C:$C,"Realizada")</f>
        <v>0</v>
      </c>
    </row>
    <row r="14" customFormat="false" ht="15" hidden="false" customHeight="false" outlineLevel="0" collapsed="false">
      <c r="A14" s="5" t="s">
        <v>89</v>
      </c>
      <c r="B14" s="5" t="s">
        <v>90</v>
      </c>
      <c r="C14" s="5" t="s">
        <v>94</v>
      </c>
      <c r="D14" s="5" t="s">
        <v>92</v>
      </c>
      <c r="E14" s="5" t="s">
        <v>95</v>
      </c>
      <c r="F14" s="10" t="n">
        <f aca="false">SUMIFS(Salidas_REM!$I:$I,Salidas_REM!$D:$D,A14,Salidas_REM!$F:$F,C14,Salidas_REM!$B:$B,$B$1,Salidas_REM!$C:$C,"Realizada")</f>
        <v>119</v>
      </c>
    </row>
    <row r="15" customFormat="false" ht="15" hidden="false" customHeight="false" outlineLevel="0" collapsed="false">
      <c r="A15" s="5" t="s">
        <v>89</v>
      </c>
      <c r="B15" s="5" t="s">
        <v>90</v>
      </c>
      <c r="C15" s="5" t="s">
        <v>158</v>
      </c>
      <c r="D15" s="5" t="s">
        <v>159</v>
      </c>
      <c r="E15" s="5" t="s">
        <v>93</v>
      </c>
      <c r="F15" s="10" t="n">
        <f aca="false">SUMIFS(Salidas_REM!$I:$I,Salidas_REM!$D:$D,A15,Salidas_REM!$F:$F,C15,Salidas_REM!$B:$B,$B$1,Salidas_REM!$C:$C,"Realizada")</f>
        <v>0</v>
      </c>
    </row>
    <row r="16" customFormat="false" ht="15" hidden="false" customHeight="false" outlineLevel="0" collapsed="false">
      <c r="A16" s="5" t="s">
        <v>89</v>
      </c>
      <c r="B16" s="5" t="s">
        <v>90</v>
      </c>
      <c r="C16" s="5" t="s">
        <v>160</v>
      </c>
      <c r="D16" s="5" t="s">
        <v>159</v>
      </c>
      <c r="E16" s="5" t="s">
        <v>98</v>
      </c>
      <c r="F16" s="10" t="n">
        <f aca="false">SUMIFS(Salidas_REM!$I:$I,Salidas_REM!$D:$D,A16,Salidas_REM!$F:$F,C16,Salidas_REM!$B:$B,$B$1,Salidas_REM!$C:$C,"Realizada")</f>
        <v>0</v>
      </c>
    </row>
    <row r="17" customFormat="false" ht="15" hidden="false" customHeight="false" outlineLevel="0" collapsed="false">
      <c r="A17" s="5" t="s">
        <v>89</v>
      </c>
      <c r="B17" s="5" t="s">
        <v>90</v>
      </c>
      <c r="C17" s="5" t="s">
        <v>161</v>
      </c>
      <c r="D17" s="5" t="s">
        <v>159</v>
      </c>
      <c r="E17" s="5" t="s">
        <v>143</v>
      </c>
      <c r="F17" s="10" t="n">
        <f aca="false">SUMIFS(Salidas_REM!$I:$I,Salidas_REM!$D:$D,A17,Salidas_REM!$F:$F,C17,Salidas_REM!$B:$B,$B$1,Salidas_REM!$C:$C,"Realizada")</f>
        <v>0</v>
      </c>
    </row>
    <row r="18" customFormat="false" ht="15" hidden="false" customHeight="false" outlineLevel="0" collapsed="false">
      <c r="A18" s="5" t="s">
        <v>89</v>
      </c>
      <c r="B18" s="5" t="s">
        <v>90</v>
      </c>
      <c r="C18" s="5" t="s">
        <v>162</v>
      </c>
      <c r="D18" s="5" t="s">
        <v>159</v>
      </c>
      <c r="E18" s="5" t="s">
        <v>145</v>
      </c>
      <c r="F18" s="10" t="n">
        <f aca="false">SUMIFS(Salidas_REM!$I:$I,Salidas_REM!$D:$D,A18,Salidas_REM!$F:$F,C18,Salidas_REM!$B:$B,$B$1,Salidas_REM!$C:$C,"Realizada")</f>
        <v>0</v>
      </c>
    </row>
    <row r="19" customFormat="false" ht="15" hidden="false" customHeight="false" outlineLevel="0" collapsed="false">
      <c r="A19" s="5" t="s">
        <v>89</v>
      </c>
      <c r="B19" s="5" t="s">
        <v>90</v>
      </c>
      <c r="C19" s="5" t="s">
        <v>163</v>
      </c>
      <c r="D19" s="5" t="s">
        <v>159</v>
      </c>
      <c r="E19" s="5" t="s">
        <v>147</v>
      </c>
      <c r="F19" s="10" t="n">
        <f aca="false">SUMIFS(Salidas_REM!$I:$I,Salidas_REM!$D:$D,A19,Salidas_REM!$F:$F,C19,Salidas_REM!$B:$B,$B$1,Salidas_REM!$C:$C,"Realizada")</f>
        <v>0</v>
      </c>
    </row>
    <row r="20" customFormat="false" ht="15" hidden="false" customHeight="false" outlineLevel="0" collapsed="false">
      <c r="A20" s="5" t="s">
        <v>89</v>
      </c>
      <c r="B20" s="5" t="s">
        <v>90</v>
      </c>
      <c r="C20" s="5" t="s">
        <v>164</v>
      </c>
      <c r="D20" s="5" t="s">
        <v>159</v>
      </c>
      <c r="E20" s="5" t="s">
        <v>149</v>
      </c>
      <c r="F20" s="10" t="n">
        <f aca="false">SUMIFS(Salidas_REM!$I:$I,Salidas_REM!$D:$D,A20,Salidas_REM!$F:$F,C20,Salidas_REM!$B:$B,$B$1,Salidas_REM!$C:$C,"Realizada")</f>
        <v>0</v>
      </c>
    </row>
    <row r="21" customFormat="false" ht="15" hidden="false" customHeight="false" outlineLevel="0" collapsed="false">
      <c r="A21" s="5" t="s">
        <v>89</v>
      </c>
      <c r="B21" s="5" t="s">
        <v>90</v>
      </c>
      <c r="C21" s="5" t="s">
        <v>165</v>
      </c>
      <c r="D21" s="5" t="s">
        <v>159</v>
      </c>
      <c r="E21" s="5" t="s">
        <v>151</v>
      </c>
      <c r="F21" s="10" t="n">
        <f aca="false">SUMIFS(Salidas_REM!$I:$I,Salidas_REM!$D:$D,A21,Salidas_REM!$F:$F,C21,Salidas_REM!$B:$B,$B$1,Salidas_REM!$C:$C,"Realizada")</f>
        <v>0</v>
      </c>
    </row>
    <row r="22" customFormat="false" ht="15" hidden="false" customHeight="false" outlineLevel="0" collapsed="false">
      <c r="A22" s="5" t="s">
        <v>89</v>
      </c>
      <c r="B22" s="5" t="s">
        <v>90</v>
      </c>
      <c r="C22" s="5" t="s">
        <v>166</v>
      </c>
      <c r="D22" s="5" t="s">
        <v>159</v>
      </c>
      <c r="E22" s="5" t="s">
        <v>153</v>
      </c>
      <c r="F22" s="10" t="n">
        <f aca="false">SUMIFS(Salidas_REM!$I:$I,Salidas_REM!$D:$D,A22,Salidas_REM!$F:$F,C22,Salidas_REM!$B:$B,$B$1,Salidas_REM!$C:$C,"Realizada")</f>
        <v>0</v>
      </c>
    </row>
    <row r="23" customFormat="false" ht="15" hidden="false" customHeight="false" outlineLevel="0" collapsed="false">
      <c r="A23" s="5" t="s">
        <v>89</v>
      </c>
      <c r="B23" s="5" t="s">
        <v>90</v>
      </c>
      <c r="C23" s="5" t="s">
        <v>167</v>
      </c>
      <c r="D23" s="5" t="s">
        <v>159</v>
      </c>
      <c r="E23" s="5" t="s">
        <v>155</v>
      </c>
      <c r="F23" s="10" t="n">
        <f aca="false">SUMIFS(Salidas_REM!$I:$I,Salidas_REM!$D:$D,A23,Salidas_REM!$F:$F,C23,Salidas_REM!$B:$B,$B$1,Salidas_REM!$C:$C,"Realizada")</f>
        <v>0</v>
      </c>
    </row>
    <row r="24" customFormat="false" ht="15" hidden="false" customHeight="false" outlineLevel="0" collapsed="false">
      <c r="A24" s="5" t="s">
        <v>89</v>
      </c>
      <c r="B24" s="5" t="s">
        <v>90</v>
      </c>
      <c r="C24" s="5" t="s">
        <v>168</v>
      </c>
      <c r="D24" s="5" t="s">
        <v>159</v>
      </c>
      <c r="E24" s="5" t="s">
        <v>157</v>
      </c>
      <c r="F24" s="10" t="n">
        <f aca="false">SUMIFS(Salidas_REM!$I:$I,Salidas_REM!$D:$D,A24,Salidas_REM!$F:$F,C24,Salidas_REM!$B:$B,$B$1,Salidas_REM!$C:$C,"Realizada")</f>
        <v>0</v>
      </c>
    </row>
    <row r="25" customFormat="false" ht="15" hidden="false" customHeight="false" outlineLevel="0" collapsed="false">
      <c r="A25" s="5" t="s">
        <v>89</v>
      </c>
      <c r="B25" s="5" t="s">
        <v>90</v>
      </c>
      <c r="C25" s="5" t="s">
        <v>169</v>
      </c>
      <c r="D25" s="5" t="s">
        <v>159</v>
      </c>
      <c r="E25" s="5" t="s">
        <v>95</v>
      </c>
      <c r="F25" s="10" t="n">
        <f aca="false">SUMIFS(Salidas_REM!$I:$I,Salidas_REM!$D:$D,A25,Salidas_REM!$F:$F,C25,Salidas_REM!$B:$B,$B$1,Salidas_REM!$C:$C,"Realizada")</f>
        <v>0</v>
      </c>
    </row>
    <row r="26" customFormat="false" ht="15" hidden="false" customHeight="false" outlineLevel="0" collapsed="false">
      <c r="A26" s="5" t="s">
        <v>89</v>
      </c>
      <c r="B26" s="5" t="s">
        <v>90</v>
      </c>
      <c r="C26" s="5" t="s">
        <v>170</v>
      </c>
      <c r="D26" s="5" t="s">
        <v>171</v>
      </c>
      <c r="E26" s="5" t="s">
        <v>93</v>
      </c>
      <c r="F26" s="10" t="n">
        <f aca="false">SUMIFS(Salidas_REM!$I:$I,Salidas_REM!$D:$D,A26,Salidas_REM!$F:$F,C26,Salidas_REM!$B:$B,$B$1,Salidas_REM!$C:$C,"Realizada")</f>
        <v>0</v>
      </c>
    </row>
    <row r="27" customFormat="false" ht="15" hidden="false" customHeight="false" outlineLevel="0" collapsed="false">
      <c r="A27" s="5" t="s">
        <v>89</v>
      </c>
      <c r="B27" s="5" t="s">
        <v>90</v>
      </c>
      <c r="C27" s="5" t="s">
        <v>172</v>
      </c>
      <c r="D27" s="5" t="s">
        <v>171</v>
      </c>
      <c r="E27" s="5" t="s">
        <v>98</v>
      </c>
      <c r="F27" s="10" t="n">
        <f aca="false">SUMIFS(Salidas_REM!$I:$I,Salidas_REM!$D:$D,A27,Salidas_REM!$F:$F,C27,Salidas_REM!$B:$B,$B$1,Salidas_REM!$C:$C,"Realizada")</f>
        <v>0</v>
      </c>
    </row>
    <row r="28" customFormat="false" ht="15" hidden="false" customHeight="false" outlineLevel="0" collapsed="false">
      <c r="A28" s="5" t="s">
        <v>89</v>
      </c>
      <c r="B28" s="5" t="s">
        <v>90</v>
      </c>
      <c r="C28" s="5" t="s">
        <v>173</v>
      </c>
      <c r="D28" s="5" t="s">
        <v>171</v>
      </c>
      <c r="E28" s="5" t="s">
        <v>143</v>
      </c>
      <c r="F28" s="10" t="n">
        <f aca="false">SUMIFS(Salidas_REM!$I:$I,Salidas_REM!$D:$D,A28,Salidas_REM!$F:$F,C28,Salidas_REM!$B:$B,$B$1,Salidas_REM!$C:$C,"Realizada")</f>
        <v>0</v>
      </c>
    </row>
    <row r="29" customFormat="false" ht="15" hidden="false" customHeight="false" outlineLevel="0" collapsed="false">
      <c r="A29" s="5" t="s">
        <v>89</v>
      </c>
      <c r="B29" s="5" t="s">
        <v>90</v>
      </c>
      <c r="C29" s="5" t="s">
        <v>174</v>
      </c>
      <c r="D29" s="5" t="s">
        <v>171</v>
      </c>
      <c r="E29" s="5" t="s">
        <v>145</v>
      </c>
      <c r="F29" s="10" t="n">
        <f aca="false">SUMIFS(Salidas_REM!$I:$I,Salidas_REM!$D:$D,A29,Salidas_REM!$F:$F,C29,Salidas_REM!$B:$B,$B$1,Salidas_REM!$C:$C,"Realizada")</f>
        <v>0</v>
      </c>
    </row>
    <row r="30" customFormat="false" ht="15" hidden="false" customHeight="false" outlineLevel="0" collapsed="false">
      <c r="A30" s="5" t="s">
        <v>89</v>
      </c>
      <c r="B30" s="5" t="s">
        <v>90</v>
      </c>
      <c r="C30" s="5" t="s">
        <v>175</v>
      </c>
      <c r="D30" s="5" t="s">
        <v>171</v>
      </c>
      <c r="E30" s="5" t="s">
        <v>147</v>
      </c>
      <c r="F30" s="10" t="n">
        <f aca="false">SUMIFS(Salidas_REM!$I:$I,Salidas_REM!$D:$D,A30,Salidas_REM!$F:$F,C30,Salidas_REM!$B:$B,$B$1,Salidas_REM!$C:$C,"Realizada")</f>
        <v>0</v>
      </c>
    </row>
    <row r="31" customFormat="false" ht="15" hidden="false" customHeight="false" outlineLevel="0" collapsed="false">
      <c r="A31" s="5" t="s">
        <v>89</v>
      </c>
      <c r="B31" s="5" t="s">
        <v>90</v>
      </c>
      <c r="C31" s="5" t="s">
        <v>176</v>
      </c>
      <c r="D31" s="5" t="s">
        <v>171</v>
      </c>
      <c r="E31" s="5" t="s">
        <v>149</v>
      </c>
      <c r="F31" s="10" t="n">
        <f aca="false">SUMIFS(Salidas_REM!$I:$I,Salidas_REM!$D:$D,A31,Salidas_REM!$F:$F,C31,Salidas_REM!$B:$B,$B$1,Salidas_REM!$C:$C,"Realizada")</f>
        <v>0</v>
      </c>
    </row>
    <row r="32" customFormat="false" ht="15" hidden="false" customHeight="false" outlineLevel="0" collapsed="false">
      <c r="A32" s="5" t="s">
        <v>89</v>
      </c>
      <c r="B32" s="5" t="s">
        <v>90</v>
      </c>
      <c r="C32" s="5" t="s">
        <v>177</v>
      </c>
      <c r="D32" s="5" t="s">
        <v>171</v>
      </c>
      <c r="E32" s="5" t="s">
        <v>151</v>
      </c>
      <c r="F32" s="10" t="n">
        <f aca="false">SUMIFS(Salidas_REM!$I:$I,Salidas_REM!$D:$D,A32,Salidas_REM!$F:$F,C32,Salidas_REM!$B:$B,$B$1,Salidas_REM!$C:$C,"Realizada")</f>
        <v>0</v>
      </c>
    </row>
    <row r="33" customFormat="false" ht="15" hidden="false" customHeight="false" outlineLevel="0" collapsed="false">
      <c r="A33" s="5" t="s">
        <v>89</v>
      </c>
      <c r="B33" s="5" t="s">
        <v>90</v>
      </c>
      <c r="C33" s="5" t="s">
        <v>178</v>
      </c>
      <c r="D33" s="5" t="s">
        <v>171</v>
      </c>
      <c r="E33" s="5" t="s">
        <v>153</v>
      </c>
      <c r="F33" s="10" t="n">
        <f aca="false">SUMIFS(Salidas_REM!$I:$I,Salidas_REM!$D:$D,A33,Salidas_REM!$F:$F,C33,Salidas_REM!$B:$B,$B$1,Salidas_REM!$C:$C,"Realizada")</f>
        <v>0</v>
      </c>
    </row>
    <row r="34" customFormat="false" ht="15" hidden="false" customHeight="false" outlineLevel="0" collapsed="false">
      <c r="A34" s="5" t="s">
        <v>89</v>
      </c>
      <c r="B34" s="5" t="s">
        <v>90</v>
      </c>
      <c r="C34" s="5" t="s">
        <v>179</v>
      </c>
      <c r="D34" s="5" t="s">
        <v>171</v>
      </c>
      <c r="E34" s="5" t="s">
        <v>155</v>
      </c>
      <c r="F34" s="10" t="n">
        <f aca="false">SUMIFS(Salidas_REM!$I:$I,Salidas_REM!$D:$D,A34,Salidas_REM!$F:$F,C34,Salidas_REM!$B:$B,$B$1,Salidas_REM!$C:$C,"Realizada")</f>
        <v>0</v>
      </c>
    </row>
    <row r="35" customFormat="false" ht="15" hidden="false" customHeight="false" outlineLevel="0" collapsed="false">
      <c r="A35" s="5" t="s">
        <v>89</v>
      </c>
      <c r="B35" s="5" t="s">
        <v>90</v>
      </c>
      <c r="C35" s="5" t="s">
        <v>180</v>
      </c>
      <c r="D35" s="5" t="s">
        <v>171</v>
      </c>
      <c r="E35" s="5" t="s">
        <v>157</v>
      </c>
      <c r="F35" s="10" t="n">
        <f aca="false">SUMIFS(Salidas_REM!$I:$I,Salidas_REM!$D:$D,A35,Salidas_REM!$F:$F,C35,Salidas_REM!$B:$B,$B$1,Salidas_REM!$C:$C,"Realizada")</f>
        <v>0</v>
      </c>
    </row>
    <row r="36" customFormat="false" ht="15" hidden="false" customHeight="false" outlineLevel="0" collapsed="false">
      <c r="A36" s="5" t="s">
        <v>89</v>
      </c>
      <c r="B36" s="5" t="s">
        <v>90</v>
      </c>
      <c r="C36" s="5" t="s">
        <v>181</v>
      </c>
      <c r="D36" s="5" t="s">
        <v>171</v>
      </c>
      <c r="E36" s="5" t="s">
        <v>95</v>
      </c>
      <c r="F36" s="10" t="n">
        <f aca="false">SUMIFS(Salidas_REM!$I:$I,Salidas_REM!$D:$D,A36,Salidas_REM!$F:$F,C36,Salidas_REM!$B:$B,$B$1,Salidas_REM!$C:$C,"Realizada")</f>
        <v>0</v>
      </c>
    </row>
    <row r="37" customFormat="false" ht="15" hidden="false" customHeight="false" outlineLevel="0" collapsed="false">
      <c r="A37" s="5" t="s">
        <v>89</v>
      </c>
      <c r="B37" s="5" t="s">
        <v>90</v>
      </c>
      <c r="C37" s="5" t="s">
        <v>182</v>
      </c>
      <c r="D37" s="5" t="s">
        <v>183</v>
      </c>
      <c r="E37" s="5" t="s">
        <v>93</v>
      </c>
      <c r="F37" s="10" t="n">
        <f aca="false">SUMIFS(Salidas_REM!$I:$I,Salidas_REM!$D:$D,A37,Salidas_REM!$F:$F,C37,Salidas_REM!$B:$B,$B$1,Salidas_REM!$C:$C,"Realizada")</f>
        <v>0</v>
      </c>
    </row>
    <row r="38" customFormat="false" ht="15" hidden="false" customHeight="false" outlineLevel="0" collapsed="false">
      <c r="A38" s="5" t="s">
        <v>89</v>
      </c>
      <c r="B38" s="5" t="s">
        <v>90</v>
      </c>
      <c r="C38" s="5" t="s">
        <v>184</v>
      </c>
      <c r="D38" s="5" t="s">
        <v>183</v>
      </c>
      <c r="E38" s="5" t="s">
        <v>98</v>
      </c>
      <c r="F38" s="10" t="n">
        <f aca="false">SUMIFS(Salidas_REM!$I:$I,Salidas_REM!$D:$D,A38,Salidas_REM!$F:$F,C38,Salidas_REM!$B:$B,$B$1,Salidas_REM!$C:$C,"Realizada")</f>
        <v>0</v>
      </c>
    </row>
    <row r="39" customFormat="false" ht="15" hidden="false" customHeight="false" outlineLevel="0" collapsed="false">
      <c r="A39" s="5" t="s">
        <v>89</v>
      </c>
      <c r="B39" s="5" t="s">
        <v>90</v>
      </c>
      <c r="C39" s="5" t="s">
        <v>185</v>
      </c>
      <c r="D39" s="5" t="s">
        <v>183</v>
      </c>
      <c r="E39" s="5" t="s">
        <v>143</v>
      </c>
      <c r="F39" s="10" t="n">
        <f aca="false">SUMIFS(Salidas_REM!$I:$I,Salidas_REM!$D:$D,A39,Salidas_REM!$F:$F,C39,Salidas_REM!$B:$B,$B$1,Salidas_REM!$C:$C,"Realizada")</f>
        <v>0</v>
      </c>
    </row>
    <row r="40" customFormat="false" ht="15" hidden="false" customHeight="false" outlineLevel="0" collapsed="false">
      <c r="A40" s="5" t="s">
        <v>89</v>
      </c>
      <c r="B40" s="5" t="s">
        <v>90</v>
      </c>
      <c r="C40" s="5" t="s">
        <v>186</v>
      </c>
      <c r="D40" s="5" t="s">
        <v>183</v>
      </c>
      <c r="E40" s="5" t="s">
        <v>145</v>
      </c>
      <c r="F40" s="10" t="n">
        <f aca="false">SUMIFS(Salidas_REM!$I:$I,Salidas_REM!$D:$D,A40,Salidas_REM!$F:$F,C40,Salidas_REM!$B:$B,$B$1,Salidas_REM!$C:$C,"Realizada")</f>
        <v>0</v>
      </c>
    </row>
    <row r="41" customFormat="false" ht="15" hidden="false" customHeight="false" outlineLevel="0" collapsed="false">
      <c r="A41" s="5" t="s">
        <v>89</v>
      </c>
      <c r="B41" s="5" t="s">
        <v>90</v>
      </c>
      <c r="C41" s="5" t="s">
        <v>187</v>
      </c>
      <c r="D41" s="5" t="s">
        <v>183</v>
      </c>
      <c r="E41" s="5" t="s">
        <v>147</v>
      </c>
      <c r="F41" s="10" t="n">
        <f aca="false">SUMIFS(Salidas_REM!$I:$I,Salidas_REM!$D:$D,A41,Salidas_REM!$F:$F,C41,Salidas_REM!$B:$B,$B$1,Salidas_REM!$C:$C,"Realizada")</f>
        <v>0</v>
      </c>
    </row>
    <row r="42" customFormat="false" ht="15" hidden="false" customHeight="false" outlineLevel="0" collapsed="false">
      <c r="A42" s="5" t="s">
        <v>89</v>
      </c>
      <c r="B42" s="5" t="s">
        <v>90</v>
      </c>
      <c r="C42" s="5" t="s">
        <v>188</v>
      </c>
      <c r="D42" s="5" t="s">
        <v>183</v>
      </c>
      <c r="E42" s="5" t="s">
        <v>149</v>
      </c>
      <c r="F42" s="10" t="n">
        <f aca="false">SUMIFS(Salidas_REM!$I:$I,Salidas_REM!$D:$D,A42,Salidas_REM!$F:$F,C42,Salidas_REM!$B:$B,$B$1,Salidas_REM!$C:$C,"Realizada")</f>
        <v>0</v>
      </c>
    </row>
    <row r="43" customFormat="false" ht="15" hidden="false" customHeight="false" outlineLevel="0" collapsed="false">
      <c r="A43" s="5" t="s">
        <v>89</v>
      </c>
      <c r="B43" s="5" t="s">
        <v>90</v>
      </c>
      <c r="C43" s="5" t="s">
        <v>189</v>
      </c>
      <c r="D43" s="5" t="s">
        <v>183</v>
      </c>
      <c r="E43" s="5" t="s">
        <v>151</v>
      </c>
      <c r="F43" s="10" t="n">
        <f aca="false">SUMIFS(Salidas_REM!$I:$I,Salidas_REM!$D:$D,A43,Salidas_REM!$F:$F,C43,Salidas_REM!$B:$B,$B$1,Salidas_REM!$C:$C,"Realizada")</f>
        <v>0</v>
      </c>
    </row>
    <row r="44" customFormat="false" ht="15" hidden="false" customHeight="false" outlineLevel="0" collapsed="false">
      <c r="A44" s="5" t="s">
        <v>89</v>
      </c>
      <c r="B44" s="5" t="s">
        <v>90</v>
      </c>
      <c r="C44" s="5" t="s">
        <v>190</v>
      </c>
      <c r="D44" s="5" t="s">
        <v>183</v>
      </c>
      <c r="E44" s="5" t="s">
        <v>153</v>
      </c>
      <c r="F44" s="10" t="n">
        <f aca="false">SUMIFS(Salidas_REM!$I:$I,Salidas_REM!$D:$D,A44,Salidas_REM!$F:$F,C44,Salidas_REM!$B:$B,$B$1,Salidas_REM!$C:$C,"Realizada")</f>
        <v>0</v>
      </c>
    </row>
    <row r="45" customFormat="false" ht="15" hidden="false" customHeight="false" outlineLevel="0" collapsed="false">
      <c r="A45" s="5" t="s">
        <v>89</v>
      </c>
      <c r="B45" s="5" t="s">
        <v>90</v>
      </c>
      <c r="C45" s="5" t="s">
        <v>191</v>
      </c>
      <c r="D45" s="5" t="s">
        <v>183</v>
      </c>
      <c r="E45" s="5" t="s">
        <v>155</v>
      </c>
      <c r="F45" s="10" t="n">
        <f aca="false">SUMIFS(Salidas_REM!$I:$I,Salidas_REM!$D:$D,A45,Salidas_REM!$F:$F,C45,Salidas_REM!$B:$B,$B$1,Salidas_REM!$C:$C,"Realizada")</f>
        <v>0</v>
      </c>
    </row>
    <row r="46" customFormat="false" ht="15" hidden="false" customHeight="false" outlineLevel="0" collapsed="false">
      <c r="A46" s="5" t="s">
        <v>89</v>
      </c>
      <c r="B46" s="5" t="s">
        <v>90</v>
      </c>
      <c r="C46" s="5" t="s">
        <v>192</v>
      </c>
      <c r="D46" s="5" t="s">
        <v>183</v>
      </c>
      <c r="E46" s="5" t="s">
        <v>157</v>
      </c>
      <c r="F46" s="10" t="n">
        <f aca="false">SUMIFS(Salidas_REM!$I:$I,Salidas_REM!$D:$D,A46,Salidas_REM!$F:$F,C46,Salidas_REM!$B:$B,$B$1,Salidas_REM!$C:$C,"Realizada")</f>
        <v>0</v>
      </c>
    </row>
    <row r="47" customFormat="false" ht="15" hidden="false" customHeight="false" outlineLevel="0" collapsed="false">
      <c r="A47" s="5" t="s">
        <v>89</v>
      </c>
      <c r="B47" s="5" t="s">
        <v>90</v>
      </c>
      <c r="C47" s="5" t="s">
        <v>193</v>
      </c>
      <c r="D47" s="5" t="s">
        <v>183</v>
      </c>
      <c r="E47" s="5" t="s">
        <v>95</v>
      </c>
      <c r="F47" s="10" t="n">
        <f aca="false">SUMIFS(Salidas_REM!$I:$I,Salidas_REM!$D:$D,A47,Salidas_REM!$F:$F,C47,Salidas_REM!$B:$B,$B$1,Salidas_REM!$C:$C,"Realizada")</f>
        <v>0</v>
      </c>
    </row>
    <row r="48" customFormat="false" ht="15" hidden="false" customHeight="false" outlineLevel="0" collapsed="false">
      <c r="A48" s="5" t="s">
        <v>89</v>
      </c>
      <c r="B48" s="5" t="s">
        <v>90</v>
      </c>
      <c r="C48" s="5" t="s">
        <v>194</v>
      </c>
      <c r="D48" s="5" t="s">
        <v>195</v>
      </c>
      <c r="E48" s="5" t="s">
        <v>93</v>
      </c>
      <c r="F48" s="10" t="n">
        <f aca="false">SUMIFS(Salidas_REM!$I:$I,Salidas_REM!$D:$D,A48,Salidas_REM!$F:$F,C48,Salidas_REM!$B:$B,$B$1,Salidas_REM!$C:$C,"Realizada")</f>
        <v>0</v>
      </c>
    </row>
    <row r="49" customFormat="false" ht="15" hidden="false" customHeight="false" outlineLevel="0" collapsed="false">
      <c r="A49" s="5" t="s">
        <v>89</v>
      </c>
      <c r="B49" s="5" t="s">
        <v>90</v>
      </c>
      <c r="C49" s="5" t="s">
        <v>196</v>
      </c>
      <c r="D49" s="5" t="s">
        <v>195</v>
      </c>
      <c r="E49" s="5" t="s">
        <v>98</v>
      </c>
      <c r="F49" s="10" t="n">
        <f aca="false">SUMIFS(Salidas_REM!$I:$I,Salidas_REM!$D:$D,A49,Salidas_REM!$F:$F,C49,Salidas_REM!$B:$B,$B$1,Salidas_REM!$C:$C,"Realizada")</f>
        <v>0</v>
      </c>
    </row>
    <row r="50" customFormat="false" ht="15" hidden="false" customHeight="false" outlineLevel="0" collapsed="false">
      <c r="A50" s="5" t="s">
        <v>89</v>
      </c>
      <c r="B50" s="5" t="s">
        <v>90</v>
      </c>
      <c r="C50" s="5" t="s">
        <v>197</v>
      </c>
      <c r="D50" s="5" t="s">
        <v>195</v>
      </c>
      <c r="E50" s="5" t="s">
        <v>143</v>
      </c>
      <c r="F50" s="10" t="n">
        <f aca="false">SUMIFS(Salidas_REM!$I:$I,Salidas_REM!$D:$D,A50,Salidas_REM!$F:$F,C50,Salidas_REM!$B:$B,$B$1,Salidas_REM!$C:$C,"Realizada")</f>
        <v>0</v>
      </c>
    </row>
    <row r="51" customFormat="false" ht="15" hidden="false" customHeight="false" outlineLevel="0" collapsed="false">
      <c r="A51" s="5" t="s">
        <v>89</v>
      </c>
      <c r="B51" s="5" t="s">
        <v>90</v>
      </c>
      <c r="C51" s="5" t="s">
        <v>198</v>
      </c>
      <c r="D51" s="5" t="s">
        <v>195</v>
      </c>
      <c r="E51" s="5" t="s">
        <v>145</v>
      </c>
      <c r="F51" s="10" t="n">
        <f aca="false">SUMIFS(Salidas_REM!$I:$I,Salidas_REM!$D:$D,A51,Salidas_REM!$F:$F,C51,Salidas_REM!$B:$B,$B$1,Salidas_REM!$C:$C,"Realizada")</f>
        <v>0</v>
      </c>
    </row>
    <row r="52" customFormat="false" ht="15" hidden="false" customHeight="false" outlineLevel="0" collapsed="false">
      <c r="A52" s="5" t="s">
        <v>89</v>
      </c>
      <c r="B52" s="5" t="s">
        <v>90</v>
      </c>
      <c r="C52" s="5" t="s">
        <v>199</v>
      </c>
      <c r="D52" s="5" t="s">
        <v>195</v>
      </c>
      <c r="E52" s="5" t="s">
        <v>147</v>
      </c>
      <c r="F52" s="10" t="n">
        <f aca="false">SUMIFS(Salidas_REM!$I:$I,Salidas_REM!$D:$D,A52,Salidas_REM!$F:$F,C52,Salidas_REM!$B:$B,$B$1,Salidas_REM!$C:$C,"Realizada")</f>
        <v>0</v>
      </c>
    </row>
    <row r="53" customFormat="false" ht="15" hidden="false" customHeight="false" outlineLevel="0" collapsed="false">
      <c r="A53" s="5" t="s">
        <v>89</v>
      </c>
      <c r="B53" s="5" t="s">
        <v>90</v>
      </c>
      <c r="C53" s="5" t="s">
        <v>200</v>
      </c>
      <c r="D53" s="5" t="s">
        <v>195</v>
      </c>
      <c r="E53" s="5" t="s">
        <v>149</v>
      </c>
      <c r="F53" s="10" t="n">
        <f aca="false">SUMIFS(Salidas_REM!$I:$I,Salidas_REM!$D:$D,A53,Salidas_REM!$F:$F,C53,Salidas_REM!$B:$B,$B$1,Salidas_REM!$C:$C,"Realizada")</f>
        <v>0</v>
      </c>
    </row>
    <row r="54" customFormat="false" ht="15" hidden="false" customHeight="false" outlineLevel="0" collapsed="false">
      <c r="A54" s="5" t="s">
        <v>89</v>
      </c>
      <c r="B54" s="5" t="s">
        <v>90</v>
      </c>
      <c r="C54" s="5" t="s">
        <v>201</v>
      </c>
      <c r="D54" s="5" t="s">
        <v>195</v>
      </c>
      <c r="E54" s="5" t="s">
        <v>151</v>
      </c>
      <c r="F54" s="10" t="n">
        <f aca="false">SUMIFS(Salidas_REM!$I:$I,Salidas_REM!$D:$D,A54,Salidas_REM!$F:$F,C54,Salidas_REM!$B:$B,$B$1,Salidas_REM!$C:$C,"Realizada")</f>
        <v>0</v>
      </c>
    </row>
    <row r="55" customFormat="false" ht="15" hidden="false" customHeight="false" outlineLevel="0" collapsed="false">
      <c r="A55" s="5" t="s">
        <v>89</v>
      </c>
      <c r="B55" s="5" t="s">
        <v>90</v>
      </c>
      <c r="C55" s="5" t="s">
        <v>202</v>
      </c>
      <c r="D55" s="5" t="s">
        <v>195</v>
      </c>
      <c r="E55" s="5" t="s">
        <v>153</v>
      </c>
      <c r="F55" s="10" t="n">
        <f aca="false">SUMIFS(Salidas_REM!$I:$I,Salidas_REM!$D:$D,A55,Salidas_REM!$F:$F,C55,Salidas_REM!$B:$B,$B$1,Salidas_REM!$C:$C,"Realizada")</f>
        <v>0</v>
      </c>
    </row>
    <row r="56" customFormat="false" ht="15" hidden="false" customHeight="false" outlineLevel="0" collapsed="false">
      <c r="A56" s="5" t="s">
        <v>89</v>
      </c>
      <c r="B56" s="5" t="s">
        <v>90</v>
      </c>
      <c r="C56" s="5" t="s">
        <v>203</v>
      </c>
      <c r="D56" s="5" t="s">
        <v>195</v>
      </c>
      <c r="E56" s="5" t="s">
        <v>155</v>
      </c>
      <c r="F56" s="10" t="n">
        <f aca="false">SUMIFS(Salidas_REM!$I:$I,Salidas_REM!$D:$D,A56,Salidas_REM!$F:$F,C56,Salidas_REM!$B:$B,$B$1,Salidas_REM!$C:$C,"Realizada")</f>
        <v>0</v>
      </c>
    </row>
    <row r="57" customFormat="false" ht="15" hidden="false" customHeight="false" outlineLevel="0" collapsed="false">
      <c r="A57" s="5" t="s">
        <v>89</v>
      </c>
      <c r="B57" s="5" t="s">
        <v>90</v>
      </c>
      <c r="C57" s="5" t="s">
        <v>204</v>
      </c>
      <c r="D57" s="5" t="s">
        <v>195</v>
      </c>
      <c r="E57" s="5" t="s">
        <v>157</v>
      </c>
      <c r="F57" s="10" t="n">
        <f aca="false">SUMIFS(Salidas_REM!$I:$I,Salidas_REM!$D:$D,A57,Salidas_REM!$F:$F,C57,Salidas_REM!$B:$B,$B$1,Salidas_REM!$C:$C,"Realizada")</f>
        <v>0</v>
      </c>
    </row>
    <row r="58" customFormat="false" ht="15" hidden="false" customHeight="false" outlineLevel="0" collapsed="false">
      <c r="A58" s="5" t="s">
        <v>89</v>
      </c>
      <c r="B58" s="5" t="s">
        <v>90</v>
      </c>
      <c r="C58" s="5" t="s">
        <v>205</v>
      </c>
      <c r="D58" s="5" t="s">
        <v>195</v>
      </c>
      <c r="E58" s="5" t="s">
        <v>95</v>
      </c>
      <c r="F58" s="10" t="n">
        <f aca="false">SUMIFS(Salidas_REM!$I:$I,Salidas_REM!$D:$D,A58,Salidas_REM!$F:$F,C58,Salidas_REM!$B:$B,$B$1,Salidas_REM!$C:$C,"Realizada")</f>
        <v>0</v>
      </c>
    </row>
    <row r="59" customFormat="false" ht="15" hidden="false" customHeight="false" outlineLevel="0" collapsed="false">
      <c r="A59" s="5" t="s">
        <v>89</v>
      </c>
      <c r="B59" s="5" t="s">
        <v>90</v>
      </c>
      <c r="C59" s="5" t="s">
        <v>206</v>
      </c>
      <c r="D59" s="5" t="s">
        <v>207</v>
      </c>
      <c r="E59" s="5" t="s">
        <v>93</v>
      </c>
      <c r="F59" s="10" t="n">
        <f aca="false">SUMIFS(Salidas_REM!$I:$I,Salidas_REM!$D:$D,A59,Salidas_REM!$F:$F,C59,Salidas_REM!$B:$B,$B$1,Salidas_REM!$C:$C,"Realizada")</f>
        <v>0</v>
      </c>
    </row>
    <row r="60" customFormat="false" ht="15" hidden="false" customHeight="false" outlineLevel="0" collapsed="false">
      <c r="A60" s="5" t="s">
        <v>89</v>
      </c>
      <c r="B60" s="5" t="s">
        <v>90</v>
      </c>
      <c r="C60" s="5" t="s">
        <v>208</v>
      </c>
      <c r="D60" s="5" t="s">
        <v>207</v>
      </c>
      <c r="E60" s="5" t="s">
        <v>98</v>
      </c>
      <c r="F60" s="10" t="n">
        <f aca="false">SUMIFS(Salidas_REM!$I:$I,Salidas_REM!$D:$D,A60,Salidas_REM!$F:$F,C60,Salidas_REM!$B:$B,$B$1,Salidas_REM!$C:$C,"Realizada")</f>
        <v>0</v>
      </c>
    </row>
    <row r="61" customFormat="false" ht="15" hidden="false" customHeight="false" outlineLevel="0" collapsed="false">
      <c r="A61" s="5" t="s">
        <v>89</v>
      </c>
      <c r="B61" s="5" t="s">
        <v>90</v>
      </c>
      <c r="C61" s="5" t="s">
        <v>209</v>
      </c>
      <c r="D61" s="5" t="s">
        <v>207</v>
      </c>
      <c r="E61" s="5" t="s">
        <v>143</v>
      </c>
      <c r="F61" s="10" t="n">
        <f aca="false">SUMIFS(Salidas_REM!$I:$I,Salidas_REM!$D:$D,A61,Salidas_REM!$F:$F,C61,Salidas_REM!$B:$B,$B$1,Salidas_REM!$C:$C,"Realizada")</f>
        <v>0</v>
      </c>
    </row>
    <row r="62" customFormat="false" ht="15" hidden="false" customHeight="false" outlineLevel="0" collapsed="false">
      <c r="A62" s="5" t="s">
        <v>89</v>
      </c>
      <c r="B62" s="5" t="s">
        <v>90</v>
      </c>
      <c r="C62" s="5" t="s">
        <v>210</v>
      </c>
      <c r="D62" s="5" t="s">
        <v>207</v>
      </c>
      <c r="E62" s="5" t="s">
        <v>145</v>
      </c>
      <c r="F62" s="10" t="n">
        <f aca="false">SUMIFS(Salidas_REM!$I:$I,Salidas_REM!$D:$D,A62,Salidas_REM!$F:$F,C62,Salidas_REM!$B:$B,$B$1,Salidas_REM!$C:$C,"Realizada")</f>
        <v>0</v>
      </c>
    </row>
    <row r="63" customFormat="false" ht="15" hidden="false" customHeight="false" outlineLevel="0" collapsed="false">
      <c r="A63" s="5" t="s">
        <v>89</v>
      </c>
      <c r="B63" s="5" t="s">
        <v>90</v>
      </c>
      <c r="C63" s="5" t="s">
        <v>211</v>
      </c>
      <c r="D63" s="5" t="s">
        <v>207</v>
      </c>
      <c r="E63" s="5" t="s">
        <v>147</v>
      </c>
      <c r="F63" s="10" t="n">
        <f aca="false">SUMIFS(Salidas_REM!$I:$I,Salidas_REM!$D:$D,A63,Salidas_REM!$F:$F,C63,Salidas_REM!$B:$B,$B$1,Salidas_REM!$C:$C,"Realizada")</f>
        <v>0</v>
      </c>
    </row>
    <row r="64" customFormat="false" ht="15" hidden="false" customHeight="false" outlineLevel="0" collapsed="false">
      <c r="A64" s="5" t="s">
        <v>89</v>
      </c>
      <c r="B64" s="5" t="s">
        <v>90</v>
      </c>
      <c r="C64" s="5" t="s">
        <v>212</v>
      </c>
      <c r="D64" s="5" t="s">
        <v>207</v>
      </c>
      <c r="E64" s="5" t="s">
        <v>149</v>
      </c>
      <c r="F64" s="10" t="n">
        <f aca="false">SUMIFS(Salidas_REM!$I:$I,Salidas_REM!$D:$D,A64,Salidas_REM!$F:$F,C64,Salidas_REM!$B:$B,$B$1,Salidas_REM!$C:$C,"Realizada")</f>
        <v>0</v>
      </c>
    </row>
    <row r="65" customFormat="false" ht="15" hidden="false" customHeight="false" outlineLevel="0" collapsed="false">
      <c r="A65" s="5" t="s">
        <v>89</v>
      </c>
      <c r="B65" s="5" t="s">
        <v>90</v>
      </c>
      <c r="C65" s="5" t="s">
        <v>213</v>
      </c>
      <c r="D65" s="5" t="s">
        <v>207</v>
      </c>
      <c r="E65" s="5" t="s">
        <v>151</v>
      </c>
      <c r="F65" s="10" t="n">
        <f aca="false">SUMIFS(Salidas_REM!$I:$I,Salidas_REM!$D:$D,A65,Salidas_REM!$F:$F,C65,Salidas_REM!$B:$B,$B$1,Salidas_REM!$C:$C,"Realizada")</f>
        <v>0</v>
      </c>
    </row>
    <row r="66" customFormat="false" ht="15" hidden="false" customHeight="false" outlineLevel="0" collapsed="false">
      <c r="A66" s="5" t="s">
        <v>89</v>
      </c>
      <c r="B66" s="5" t="s">
        <v>90</v>
      </c>
      <c r="C66" s="5" t="s">
        <v>214</v>
      </c>
      <c r="D66" s="5" t="s">
        <v>207</v>
      </c>
      <c r="E66" s="5" t="s">
        <v>153</v>
      </c>
      <c r="F66" s="10" t="n">
        <f aca="false">SUMIFS(Salidas_REM!$I:$I,Salidas_REM!$D:$D,A66,Salidas_REM!$F:$F,C66,Salidas_REM!$B:$B,$B$1,Salidas_REM!$C:$C,"Realizada")</f>
        <v>0</v>
      </c>
    </row>
    <row r="67" customFormat="false" ht="15" hidden="false" customHeight="false" outlineLevel="0" collapsed="false">
      <c r="A67" s="5" t="s">
        <v>89</v>
      </c>
      <c r="B67" s="5" t="s">
        <v>90</v>
      </c>
      <c r="C67" s="5" t="s">
        <v>215</v>
      </c>
      <c r="D67" s="5" t="s">
        <v>207</v>
      </c>
      <c r="E67" s="5" t="s">
        <v>155</v>
      </c>
      <c r="F67" s="10" t="n">
        <f aca="false">SUMIFS(Salidas_REM!$I:$I,Salidas_REM!$D:$D,A67,Salidas_REM!$F:$F,C67,Salidas_REM!$B:$B,$B$1,Salidas_REM!$C:$C,"Realizada")</f>
        <v>0</v>
      </c>
    </row>
    <row r="68" customFormat="false" ht="15" hidden="false" customHeight="false" outlineLevel="0" collapsed="false">
      <c r="A68" s="5" t="s">
        <v>89</v>
      </c>
      <c r="B68" s="5" t="s">
        <v>90</v>
      </c>
      <c r="C68" s="5" t="s">
        <v>216</v>
      </c>
      <c r="D68" s="5" t="s">
        <v>207</v>
      </c>
      <c r="E68" s="5" t="s">
        <v>157</v>
      </c>
      <c r="F68" s="10" t="n">
        <f aca="false">SUMIFS(Salidas_REM!$I:$I,Salidas_REM!$D:$D,A68,Salidas_REM!$F:$F,C68,Salidas_REM!$B:$B,$B$1,Salidas_REM!$C:$C,"Realizada")</f>
        <v>0</v>
      </c>
    </row>
    <row r="69" customFormat="false" ht="15" hidden="false" customHeight="false" outlineLevel="0" collapsed="false">
      <c r="A69" s="5" t="s">
        <v>89</v>
      </c>
      <c r="B69" s="5" t="s">
        <v>90</v>
      </c>
      <c r="C69" s="5" t="s">
        <v>217</v>
      </c>
      <c r="D69" s="5" t="s">
        <v>207</v>
      </c>
      <c r="E69" s="5" t="s">
        <v>95</v>
      </c>
      <c r="F69" s="10" t="n">
        <f aca="false">SUMIFS(Salidas_REM!$I:$I,Salidas_REM!$D:$D,A69,Salidas_REM!$F:$F,C69,Salidas_REM!$B:$B,$B$1,Salidas_REM!$C:$C,"Realizada")</f>
        <v>0</v>
      </c>
    </row>
    <row r="70" customFormat="false" ht="15" hidden="false" customHeight="false" outlineLevel="0" collapsed="false">
      <c r="A70" s="5" t="s">
        <v>89</v>
      </c>
      <c r="B70" s="5" t="s">
        <v>90</v>
      </c>
      <c r="C70" s="5" t="s">
        <v>218</v>
      </c>
      <c r="D70" s="5" t="s">
        <v>219</v>
      </c>
      <c r="E70" s="5" t="s">
        <v>93</v>
      </c>
      <c r="F70" s="10" t="n">
        <f aca="false">SUMIFS(Salidas_REM!$I:$I,Salidas_REM!$D:$D,A70,Salidas_REM!$F:$F,C70,Salidas_REM!$B:$B,$B$1,Salidas_REM!$C:$C,"Realizada")</f>
        <v>0</v>
      </c>
    </row>
    <row r="71" customFormat="false" ht="15" hidden="false" customHeight="false" outlineLevel="0" collapsed="false">
      <c r="A71" s="5" t="s">
        <v>89</v>
      </c>
      <c r="B71" s="5" t="s">
        <v>90</v>
      </c>
      <c r="C71" s="5" t="s">
        <v>220</v>
      </c>
      <c r="D71" s="5" t="s">
        <v>219</v>
      </c>
      <c r="E71" s="5" t="s">
        <v>98</v>
      </c>
      <c r="F71" s="10" t="n">
        <f aca="false">SUMIFS(Salidas_REM!$I:$I,Salidas_REM!$D:$D,A71,Salidas_REM!$F:$F,C71,Salidas_REM!$B:$B,$B$1,Salidas_REM!$C:$C,"Realizada")</f>
        <v>0</v>
      </c>
    </row>
    <row r="72" customFormat="false" ht="15" hidden="false" customHeight="false" outlineLevel="0" collapsed="false">
      <c r="A72" s="5" t="s">
        <v>89</v>
      </c>
      <c r="B72" s="5" t="s">
        <v>90</v>
      </c>
      <c r="C72" s="5" t="s">
        <v>221</v>
      </c>
      <c r="D72" s="5" t="s">
        <v>219</v>
      </c>
      <c r="E72" s="5" t="s">
        <v>143</v>
      </c>
      <c r="F72" s="10" t="n">
        <f aca="false">SUMIFS(Salidas_REM!$I:$I,Salidas_REM!$D:$D,A72,Salidas_REM!$F:$F,C72,Salidas_REM!$B:$B,$B$1,Salidas_REM!$C:$C,"Realizada")</f>
        <v>0</v>
      </c>
    </row>
    <row r="73" customFormat="false" ht="15" hidden="false" customHeight="false" outlineLevel="0" collapsed="false">
      <c r="A73" s="5" t="s">
        <v>89</v>
      </c>
      <c r="B73" s="5" t="s">
        <v>90</v>
      </c>
      <c r="C73" s="5" t="s">
        <v>222</v>
      </c>
      <c r="D73" s="5" t="s">
        <v>219</v>
      </c>
      <c r="E73" s="5" t="s">
        <v>145</v>
      </c>
      <c r="F73" s="10" t="n">
        <f aca="false">SUMIFS(Salidas_REM!$I:$I,Salidas_REM!$D:$D,A73,Salidas_REM!$F:$F,C73,Salidas_REM!$B:$B,$B$1,Salidas_REM!$C:$C,"Realizada")</f>
        <v>0</v>
      </c>
    </row>
    <row r="74" customFormat="false" ht="15" hidden="false" customHeight="false" outlineLevel="0" collapsed="false">
      <c r="A74" s="5" t="s">
        <v>89</v>
      </c>
      <c r="B74" s="5" t="s">
        <v>90</v>
      </c>
      <c r="C74" s="5" t="s">
        <v>223</v>
      </c>
      <c r="D74" s="5" t="s">
        <v>219</v>
      </c>
      <c r="E74" s="5" t="s">
        <v>147</v>
      </c>
      <c r="F74" s="10" t="n">
        <f aca="false">SUMIFS(Salidas_REM!$I:$I,Salidas_REM!$D:$D,A74,Salidas_REM!$F:$F,C74,Salidas_REM!$B:$B,$B$1,Salidas_REM!$C:$C,"Realizada")</f>
        <v>0</v>
      </c>
    </row>
    <row r="75" customFormat="false" ht="15" hidden="false" customHeight="false" outlineLevel="0" collapsed="false">
      <c r="A75" s="5" t="s">
        <v>89</v>
      </c>
      <c r="B75" s="5" t="s">
        <v>90</v>
      </c>
      <c r="C75" s="5" t="s">
        <v>224</v>
      </c>
      <c r="D75" s="5" t="s">
        <v>219</v>
      </c>
      <c r="E75" s="5" t="s">
        <v>149</v>
      </c>
      <c r="F75" s="10" t="n">
        <f aca="false">SUMIFS(Salidas_REM!$I:$I,Salidas_REM!$D:$D,A75,Salidas_REM!$F:$F,C75,Salidas_REM!$B:$B,$B$1,Salidas_REM!$C:$C,"Realizada")</f>
        <v>0</v>
      </c>
    </row>
    <row r="76" customFormat="false" ht="15" hidden="false" customHeight="false" outlineLevel="0" collapsed="false">
      <c r="A76" s="5" t="s">
        <v>89</v>
      </c>
      <c r="B76" s="5" t="s">
        <v>90</v>
      </c>
      <c r="C76" s="5" t="s">
        <v>225</v>
      </c>
      <c r="D76" s="5" t="s">
        <v>219</v>
      </c>
      <c r="E76" s="5" t="s">
        <v>151</v>
      </c>
      <c r="F76" s="10" t="n">
        <f aca="false">SUMIFS(Salidas_REM!$I:$I,Salidas_REM!$D:$D,A76,Salidas_REM!$F:$F,C76,Salidas_REM!$B:$B,$B$1,Salidas_REM!$C:$C,"Realizada")</f>
        <v>0</v>
      </c>
    </row>
    <row r="77" customFormat="false" ht="15" hidden="false" customHeight="false" outlineLevel="0" collapsed="false">
      <c r="A77" s="5" t="s">
        <v>89</v>
      </c>
      <c r="B77" s="5" t="s">
        <v>90</v>
      </c>
      <c r="C77" s="5" t="s">
        <v>226</v>
      </c>
      <c r="D77" s="5" t="s">
        <v>219</v>
      </c>
      <c r="E77" s="5" t="s">
        <v>153</v>
      </c>
      <c r="F77" s="10" t="n">
        <f aca="false">SUMIFS(Salidas_REM!$I:$I,Salidas_REM!$D:$D,A77,Salidas_REM!$F:$F,C77,Salidas_REM!$B:$B,$B$1,Salidas_REM!$C:$C,"Realizada")</f>
        <v>0</v>
      </c>
    </row>
    <row r="78" customFormat="false" ht="15" hidden="false" customHeight="false" outlineLevel="0" collapsed="false">
      <c r="A78" s="5" t="s">
        <v>89</v>
      </c>
      <c r="B78" s="5" t="s">
        <v>90</v>
      </c>
      <c r="C78" s="5" t="s">
        <v>227</v>
      </c>
      <c r="D78" s="5" t="s">
        <v>219</v>
      </c>
      <c r="E78" s="5" t="s">
        <v>155</v>
      </c>
      <c r="F78" s="10" t="n">
        <f aca="false">SUMIFS(Salidas_REM!$I:$I,Salidas_REM!$D:$D,A78,Salidas_REM!$F:$F,C78,Salidas_REM!$B:$B,$B$1,Salidas_REM!$C:$C,"Realizada")</f>
        <v>0</v>
      </c>
    </row>
    <row r="79" customFormat="false" ht="15" hidden="false" customHeight="false" outlineLevel="0" collapsed="false">
      <c r="A79" s="5" t="s">
        <v>89</v>
      </c>
      <c r="B79" s="5" t="s">
        <v>90</v>
      </c>
      <c r="C79" s="5" t="s">
        <v>228</v>
      </c>
      <c r="D79" s="5" t="s">
        <v>219</v>
      </c>
      <c r="E79" s="5" t="s">
        <v>157</v>
      </c>
      <c r="F79" s="10" t="n">
        <f aca="false">SUMIFS(Salidas_REM!$I:$I,Salidas_REM!$D:$D,A79,Salidas_REM!$F:$F,C79,Salidas_REM!$B:$B,$B$1,Salidas_REM!$C:$C,"Realizada")</f>
        <v>0</v>
      </c>
    </row>
    <row r="80" customFormat="false" ht="15" hidden="false" customHeight="false" outlineLevel="0" collapsed="false">
      <c r="A80" s="5" t="s">
        <v>89</v>
      </c>
      <c r="B80" s="5" t="s">
        <v>90</v>
      </c>
      <c r="C80" s="5" t="s">
        <v>229</v>
      </c>
      <c r="D80" s="5" t="s">
        <v>219</v>
      </c>
      <c r="E80" s="5" t="s">
        <v>95</v>
      </c>
      <c r="F80" s="10" t="n">
        <f aca="false">SUMIFS(Salidas_REM!$I:$I,Salidas_REM!$D:$D,A80,Salidas_REM!$F:$F,C80,Salidas_REM!$B:$B,$B$1,Salidas_REM!$C:$C,"Realizada")</f>
        <v>0</v>
      </c>
    </row>
    <row r="81" customFormat="false" ht="15" hidden="false" customHeight="false" outlineLevel="0" collapsed="false">
      <c r="A81" s="5" t="s">
        <v>89</v>
      </c>
      <c r="B81" s="5" t="s">
        <v>90</v>
      </c>
      <c r="C81" s="5" t="s">
        <v>230</v>
      </c>
      <c r="D81" s="5" t="s">
        <v>231</v>
      </c>
      <c r="E81" s="5" t="s">
        <v>93</v>
      </c>
      <c r="F81" s="10" t="n">
        <f aca="false">SUMIFS(Salidas_REM!$I:$I,Salidas_REM!$D:$D,A81,Salidas_REM!$F:$F,C81,Salidas_REM!$B:$B,$B$1,Salidas_REM!$C:$C,"Realizada")</f>
        <v>0</v>
      </c>
    </row>
    <row r="82" customFormat="false" ht="15" hidden="false" customHeight="false" outlineLevel="0" collapsed="false">
      <c r="A82" s="5" t="s">
        <v>89</v>
      </c>
      <c r="B82" s="5" t="s">
        <v>90</v>
      </c>
      <c r="C82" s="5" t="s">
        <v>232</v>
      </c>
      <c r="D82" s="5" t="s">
        <v>231</v>
      </c>
      <c r="E82" s="5" t="s">
        <v>98</v>
      </c>
      <c r="F82" s="10" t="n">
        <f aca="false">SUMIFS(Salidas_REM!$I:$I,Salidas_REM!$D:$D,A82,Salidas_REM!$F:$F,C82,Salidas_REM!$B:$B,$B$1,Salidas_REM!$C:$C,"Realizada")</f>
        <v>0</v>
      </c>
    </row>
    <row r="83" customFormat="false" ht="15" hidden="false" customHeight="false" outlineLevel="0" collapsed="false">
      <c r="A83" s="5" t="s">
        <v>89</v>
      </c>
      <c r="B83" s="5" t="s">
        <v>90</v>
      </c>
      <c r="C83" s="5" t="s">
        <v>233</v>
      </c>
      <c r="D83" s="5" t="s">
        <v>231</v>
      </c>
      <c r="E83" s="5" t="s">
        <v>143</v>
      </c>
      <c r="F83" s="10" t="n">
        <f aca="false">SUMIFS(Salidas_REM!$I:$I,Salidas_REM!$D:$D,A83,Salidas_REM!$F:$F,C83,Salidas_REM!$B:$B,$B$1,Salidas_REM!$C:$C,"Realizada")</f>
        <v>0</v>
      </c>
    </row>
    <row r="84" customFormat="false" ht="15" hidden="false" customHeight="false" outlineLevel="0" collapsed="false">
      <c r="A84" s="5" t="s">
        <v>89</v>
      </c>
      <c r="B84" s="5" t="s">
        <v>90</v>
      </c>
      <c r="C84" s="5" t="s">
        <v>234</v>
      </c>
      <c r="D84" s="5" t="s">
        <v>231</v>
      </c>
      <c r="E84" s="5" t="s">
        <v>145</v>
      </c>
      <c r="F84" s="10" t="n">
        <f aca="false">SUMIFS(Salidas_REM!$I:$I,Salidas_REM!$D:$D,A84,Salidas_REM!$F:$F,C84,Salidas_REM!$B:$B,$B$1,Salidas_REM!$C:$C,"Realizada")</f>
        <v>0</v>
      </c>
    </row>
    <row r="85" customFormat="false" ht="15" hidden="false" customHeight="false" outlineLevel="0" collapsed="false">
      <c r="A85" s="5" t="s">
        <v>89</v>
      </c>
      <c r="B85" s="5" t="s">
        <v>90</v>
      </c>
      <c r="C85" s="5" t="s">
        <v>235</v>
      </c>
      <c r="D85" s="5" t="s">
        <v>231</v>
      </c>
      <c r="E85" s="5" t="s">
        <v>147</v>
      </c>
      <c r="F85" s="10" t="n">
        <f aca="false">SUMIFS(Salidas_REM!$I:$I,Salidas_REM!$D:$D,A85,Salidas_REM!$F:$F,C85,Salidas_REM!$B:$B,$B$1,Salidas_REM!$C:$C,"Realizada")</f>
        <v>0</v>
      </c>
    </row>
    <row r="86" customFormat="false" ht="15" hidden="false" customHeight="false" outlineLevel="0" collapsed="false">
      <c r="A86" s="5" t="s">
        <v>89</v>
      </c>
      <c r="B86" s="5" t="s">
        <v>90</v>
      </c>
      <c r="C86" s="5" t="s">
        <v>236</v>
      </c>
      <c r="D86" s="5" t="s">
        <v>231</v>
      </c>
      <c r="E86" s="5" t="s">
        <v>149</v>
      </c>
      <c r="F86" s="10" t="n">
        <f aca="false">SUMIFS(Salidas_REM!$I:$I,Salidas_REM!$D:$D,A86,Salidas_REM!$F:$F,C86,Salidas_REM!$B:$B,$B$1,Salidas_REM!$C:$C,"Realizada")</f>
        <v>0</v>
      </c>
    </row>
    <row r="87" customFormat="false" ht="15" hidden="false" customHeight="false" outlineLevel="0" collapsed="false">
      <c r="A87" s="5" t="s">
        <v>89</v>
      </c>
      <c r="B87" s="5" t="s">
        <v>90</v>
      </c>
      <c r="C87" s="5" t="s">
        <v>237</v>
      </c>
      <c r="D87" s="5" t="s">
        <v>231</v>
      </c>
      <c r="E87" s="5" t="s">
        <v>151</v>
      </c>
      <c r="F87" s="10" t="n">
        <f aca="false">SUMIFS(Salidas_REM!$I:$I,Salidas_REM!$D:$D,A87,Salidas_REM!$F:$F,C87,Salidas_REM!$B:$B,$B$1,Salidas_REM!$C:$C,"Realizada")</f>
        <v>0</v>
      </c>
    </row>
    <row r="88" customFormat="false" ht="15" hidden="false" customHeight="false" outlineLevel="0" collapsed="false">
      <c r="A88" s="5" t="s">
        <v>89</v>
      </c>
      <c r="B88" s="5" t="s">
        <v>90</v>
      </c>
      <c r="C88" s="5" t="s">
        <v>238</v>
      </c>
      <c r="D88" s="5" t="s">
        <v>231</v>
      </c>
      <c r="E88" s="5" t="s">
        <v>153</v>
      </c>
      <c r="F88" s="10" t="n">
        <f aca="false">SUMIFS(Salidas_REM!$I:$I,Salidas_REM!$D:$D,A88,Salidas_REM!$F:$F,C88,Salidas_REM!$B:$B,$B$1,Salidas_REM!$C:$C,"Realizada")</f>
        <v>0</v>
      </c>
    </row>
    <row r="89" customFormat="false" ht="15" hidden="false" customHeight="false" outlineLevel="0" collapsed="false">
      <c r="A89" s="5" t="s">
        <v>89</v>
      </c>
      <c r="B89" s="5" t="s">
        <v>90</v>
      </c>
      <c r="C89" s="5" t="s">
        <v>239</v>
      </c>
      <c r="D89" s="5" t="s">
        <v>231</v>
      </c>
      <c r="E89" s="5" t="s">
        <v>155</v>
      </c>
      <c r="F89" s="10" t="n">
        <f aca="false">SUMIFS(Salidas_REM!$I:$I,Salidas_REM!$D:$D,A89,Salidas_REM!$F:$F,C89,Salidas_REM!$B:$B,$B$1,Salidas_REM!$C:$C,"Realizada")</f>
        <v>0</v>
      </c>
    </row>
    <row r="90" customFormat="false" ht="15" hidden="false" customHeight="false" outlineLevel="0" collapsed="false">
      <c r="A90" s="5" t="s">
        <v>89</v>
      </c>
      <c r="B90" s="5" t="s">
        <v>90</v>
      </c>
      <c r="C90" s="5" t="s">
        <v>240</v>
      </c>
      <c r="D90" s="5" t="s">
        <v>231</v>
      </c>
      <c r="E90" s="5" t="s">
        <v>157</v>
      </c>
      <c r="F90" s="10" t="n">
        <f aca="false">SUMIFS(Salidas_REM!$I:$I,Salidas_REM!$D:$D,A90,Salidas_REM!$F:$F,C90,Salidas_REM!$B:$B,$B$1,Salidas_REM!$C:$C,"Realizada")</f>
        <v>0</v>
      </c>
    </row>
    <row r="91" customFormat="false" ht="15" hidden="false" customHeight="false" outlineLevel="0" collapsed="false">
      <c r="A91" s="5" t="s">
        <v>89</v>
      </c>
      <c r="B91" s="5" t="s">
        <v>90</v>
      </c>
      <c r="C91" s="5" t="s">
        <v>241</v>
      </c>
      <c r="D91" s="5" t="s">
        <v>231</v>
      </c>
      <c r="E91" s="5" t="s">
        <v>95</v>
      </c>
      <c r="F91" s="10" t="n">
        <f aca="false">SUMIFS(Salidas_REM!$I:$I,Salidas_REM!$D:$D,A91,Salidas_REM!$F:$F,C91,Salidas_REM!$B:$B,$B$1,Salidas_REM!$C:$C,"Realizada")</f>
        <v>0</v>
      </c>
    </row>
    <row r="92" customFormat="false" ht="15" hidden="false" customHeight="false" outlineLevel="0" collapsed="false">
      <c r="A92" s="5" t="s">
        <v>89</v>
      </c>
      <c r="B92" s="5" t="s">
        <v>90</v>
      </c>
      <c r="C92" s="5" t="s">
        <v>242</v>
      </c>
      <c r="D92" s="5" t="s">
        <v>243</v>
      </c>
      <c r="E92" s="5" t="s">
        <v>93</v>
      </c>
      <c r="F92" s="10" t="n">
        <f aca="false">SUMIFS(Salidas_REM!$I:$I,Salidas_REM!$D:$D,A92,Salidas_REM!$F:$F,C92,Salidas_REM!$B:$B,$B$1,Salidas_REM!$C:$C,"Realizada")</f>
        <v>0</v>
      </c>
    </row>
    <row r="93" customFormat="false" ht="15" hidden="false" customHeight="false" outlineLevel="0" collapsed="false">
      <c r="A93" s="5" t="s">
        <v>89</v>
      </c>
      <c r="B93" s="5" t="s">
        <v>90</v>
      </c>
      <c r="C93" s="5" t="s">
        <v>244</v>
      </c>
      <c r="D93" s="5" t="s">
        <v>243</v>
      </c>
      <c r="E93" s="5" t="s">
        <v>98</v>
      </c>
      <c r="F93" s="10" t="n">
        <f aca="false">SUMIFS(Salidas_REM!$I:$I,Salidas_REM!$D:$D,A93,Salidas_REM!$F:$F,C93,Salidas_REM!$B:$B,$B$1,Salidas_REM!$C:$C,"Realizada")</f>
        <v>0</v>
      </c>
    </row>
    <row r="94" customFormat="false" ht="15" hidden="false" customHeight="false" outlineLevel="0" collapsed="false">
      <c r="A94" s="5" t="s">
        <v>89</v>
      </c>
      <c r="B94" s="5" t="s">
        <v>90</v>
      </c>
      <c r="C94" s="5" t="s">
        <v>245</v>
      </c>
      <c r="D94" s="5" t="s">
        <v>243</v>
      </c>
      <c r="E94" s="5" t="s">
        <v>143</v>
      </c>
      <c r="F94" s="10" t="n">
        <f aca="false">SUMIFS(Salidas_REM!$I:$I,Salidas_REM!$D:$D,A94,Salidas_REM!$F:$F,C94,Salidas_REM!$B:$B,$B$1,Salidas_REM!$C:$C,"Realizada")</f>
        <v>0</v>
      </c>
    </row>
    <row r="95" customFormat="false" ht="15" hidden="false" customHeight="false" outlineLevel="0" collapsed="false">
      <c r="A95" s="5" t="s">
        <v>89</v>
      </c>
      <c r="B95" s="5" t="s">
        <v>90</v>
      </c>
      <c r="C95" s="5" t="s">
        <v>246</v>
      </c>
      <c r="D95" s="5" t="s">
        <v>243</v>
      </c>
      <c r="E95" s="5" t="s">
        <v>145</v>
      </c>
      <c r="F95" s="10" t="n">
        <f aca="false">SUMIFS(Salidas_REM!$I:$I,Salidas_REM!$D:$D,A95,Salidas_REM!$F:$F,C95,Salidas_REM!$B:$B,$B$1,Salidas_REM!$C:$C,"Realizada")</f>
        <v>0</v>
      </c>
    </row>
    <row r="96" customFormat="false" ht="15" hidden="false" customHeight="false" outlineLevel="0" collapsed="false">
      <c r="A96" s="5" t="s">
        <v>89</v>
      </c>
      <c r="B96" s="5" t="s">
        <v>90</v>
      </c>
      <c r="C96" s="5" t="s">
        <v>247</v>
      </c>
      <c r="D96" s="5" t="s">
        <v>243</v>
      </c>
      <c r="E96" s="5" t="s">
        <v>147</v>
      </c>
      <c r="F96" s="10" t="n">
        <f aca="false">SUMIFS(Salidas_REM!$I:$I,Salidas_REM!$D:$D,A96,Salidas_REM!$F:$F,C96,Salidas_REM!$B:$B,$B$1,Salidas_REM!$C:$C,"Realizada")</f>
        <v>0</v>
      </c>
    </row>
    <row r="97" customFormat="false" ht="15" hidden="false" customHeight="false" outlineLevel="0" collapsed="false">
      <c r="A97" s="5" t="s">
        <v>89</v>
      </c>
      <c r="B97" s="5" t="s">
        <v>90</v>
      </c>
      <c r="C97" s="5" t="s">
        <v>248</v>
      </c>
      <c r="D97" s="5" t="s">
        <v>243</v>
      </c>
      <c r="E97" s="5" t="s">
        <v>149</v>
      </c>
      <c r="F97" s="10" t="n">
        <f aca="false">SUMIFS(Salidas_REM!$I:$I,Salidas_REM!$D:$D,A97,Salidas_REM!$F:$F,C97,Salidas_REM!$B:$B,$B$1,Salidas_REM!$C:$C,"Realizada")</f>
        <v>0</v>
      </c>
    </row>
    <row r="98" customFormat="false" ht="15" hidden="false" customHeight="false" outlineLevel="0" collapsed="false">
      <c r="A98" s="5" t="s">
        <v>89</v>
      </c>
      <c r="B98" s="5" t="s">
        <v>90</v>
      </c>
      <c r="C98" s="5" t="s">
        <v>249</v>
      </c>
      <c r="D98" s="5" t="s">
        <v>243</v>
      </c>
      <c r="E98" s="5" t="s">
        <v>151</v>
      </c>
      <c r="F98" s="10" t="n">
        <f aca="false">SUMIFS(Salidas_REM!$I:$I,Salidas_REM!$D:$D,A98,Salidas_REM!$F:$F,C98,Salidas_REM!$B:$B,$B$1,Salidas_REM!$C:$C,"Realizada")</f>
        <v>0</v>
      </c>
    </row>
    <row r="99" customFormat="false" ht="15" hidden="false" customHeight="false" outlineLevel="0" collapsed="false">
      <c r="A99" s="5" t="s">
        <v>89</v>
      </c>
      <c r="B99" s="5" t="s">
        <v>90</v>
      </c>
      <c r="C99" s="5" t="s">
        <v>250</v>
      </c>
      <c r="D99" s="5" t="s">
        <v>243</v>
      </c>
      <c r="E99" s="5" t="s">
        <v>153</v>
      </c>
      <c r="F99" s="10" t="n">
        <f aca="false">SUMIFS(Salidas_REM!$I:$I,Salidas_REM!$D:$D,A99,Salidas_REM!$F:$F,C99,Salidas_REM!$B:$B,$B$1,Salidas_REM!$C:$C,"Realizada")</f>
        <v>0</v>
      </c>
    </row>
    <row r="100" customFormat="false" ht="15" hidden="false" customHeight="false" outlineLevel="0" collapsed="false">
      <c r="A100" s="5" t="s">
        <v>89</v>
      </c>
      <c r="B100" s="5" t="s">
        <v>90</v>
      </c>
      <c r="C100" s="5" t="s">
        <v>251</v>
      </c>
      <c r="D100" s="5" t="s">
        <v>243</v>
      </c>
      <c r="E100" s="5" t="s">
        <v>155</v>
      </c>
      <c r="F100" s="10" t="n">
        <f aca="false">SUMIFS(Salidas_REM!$I:$I,Salidas_REM!$D:$D,A100,Salidas_REM!$F:$F,C100,Salidas_REM!$B:$B,$B$1,Salidas_REM!$C:$C,"Realizada")</f>
        <v>0</v>
      </c>
    </row>
    <row r="101" customFormat="false" ht="15" hidden="false" customHeight="false" outlineLevel="0" collapsed="false">
      <c r="A101" s="5" t="s">
        <v>89</v>
      </c>
      <c r="B101" s="5" t="s">
        <v>90</v>
      </c>
      <c r="C101" s="5" t="s">
        <v>252</v>
      </c>
      <c r="D101" s="5" t="s">
        <v>243</v>
      </c>
      <c r="E101" s="5" t="s">
        <v>157</v>
      </c>
      <c r="F101" s="10" t="n">
        <f aca="false">SUMIFS(Salidas_REM!$I:$I,Salidas_REM!$D:$D,A101,Salidas_REM!$F:$F,C101,Salidas_REM!$B:$B,$B$1,Salidas_REM!$C:$C,"Realizada")</f>
        <v>0</v>
      </c>
    </row>
    <row r="102" customFormat="false" ht="15" hidden="false" customHeight="false" outlineLevel="0" collapsed="false">
      <c r="A102" s="5" t="s">
        <v>89</v>
      </c>
      <c r="B102" s="5" t="s">
        <v>90</v>
      </c>
      <c r="C102" s="5" t="s">
        <v>253</v>
      </c>
      <c r="D102" s="5" t="s">
        <v>243</v>
      </c>
      <c r="E102" s="5" t="s">
        <v>95</v>
      </c>
      <c r="F102" s="10" t="n">
        <f aca="false">SUMIFS(Salidas_REM!$I:$I,Salidas_REM!$D:$D,A102,Salidas_REM!$F:$F,C102,Salidas_REM!$B:$B,$B$1,Salidas_REM!$C:$C,"Realizada")</f>
        <v>0</v>
      </c>
    </row>
    <row r="103" customFormat="false" ht="15" hidden="false" customHeight="false" outlineLevel="0" collapsed="false">
      <c r="A103" s="5" t="s">
        <v>89</v>
      </c>
      <c r="B103" s="5" t="s">
        <v>90</v>
      </c>
      <c r="C103" s="5" t="s">
        <v>254</v>
      </c>
      <c r="D103" s="5" t="s">
        <v>255</v>
      </c>
      <c r="E103" s="5" t="s">
        <v>93</v>
      </c>
      <c r="F103" s="10" t="n">
        <f aca="false">SUMIFS(Salidas_REM!$I:$I,Salidas_REM!$D:$D,A103,Salidas_REM!$F:$F,C103,Salidas_REM!$B:$B,$B$1,Salidas_REM!$C:$C,"Realizada")</f>
        <v>0</v>
      </c>
    </row>
    <row r="104" customFormat="false" ht="15" hidden="false" customHeight="false" outlineLevel="0" collapsed="false">
      <c r="A104" s="5" t="s">
        <v>89</v>
      </c>
      <c r="B104" s="5" t="s">
        <v>90</v>
      </c>
      <c r="C104" s="5" t="s">
        <v>256</v>
      </c>
      <c r="D104" s="5" t="s">
        <v>255</v>
      </c>
      <c r="E104" s="5" t="s">
        <v>98</v>
      </c>
      <c r="F104" s="10" t="n">
        <f aca="false">SUMIFS(Salidas_REM!$I:$I,Salidas_REM!$D:$D,A104,Salidas_REM!$F:$F,C104,Salidas_REM!$B:$B,$B$1,Salidas_REM!$C:$C,"Realizada")</f>
        <v>0</v>
      </c>
    </row>
    <row r="105" customFormat="false" ht="15" hidden="false" customHeight="false" outlineLevel="0" collapsed="false">
      <c r="A105" s="5" t="s">
        <v>89</v>
      </c>
      <c r="B105" s="5" t="s">
        <v>90</v>
      </c>
      <c r="C105" s="5" t="s">
        <v>257</v>
      </c>
      <c r="D105" s="5" t="s">
        <v>255</v>
      </c>
      <c r="E105" s="5" t="s">
        <v>143</v>
      </c>
      <c r="F105" s="10" t="n">
        <f aca="false">SUMIFS(Salidas_REM!$I:$I,Salidas_REM!$D:$D,A105,Salidas_REM!$F:$F,C105,Salidas_REM!$B:$B,$B$1,Salidas_REM!$C:$C,"Realizada")</f>
        <v>0</v>
      </c>
    </row>
    <row r="106" customFormat="false" ht="15" hidden="false" customHeight="false" outlineLevel="0" collapsed="false">
      <c r="A106" s="5" t="s">
        <v>89</v>
      </c>
      <c r="B106" s="5" t="s">
        <v>90</v>
      </c>
      <c r="C106" s="5" t="s">
        <v>258</v>
      </c>
      <c r="D106" s="5" t="s">
        <v>255</v>
      </c>
      <c r="E106" s="5" t="s">
        <v>145</v>
      </c>
      <c r="F106" s="10" t="n">
        <f aca="false">SUMIFS(Salidas_REM!$I:$I,Salidas_REM!$D:$D,A106,Salidas_REM!$F:$F,C106,Salidas_REM!$B:$B,$B$1,Salidas_REM!$C:$C,"Realizada")</f>
        <v>0</v>
      </c>
    </row>
    <row r="107" customFormat="false" ht="15" hidden="false" customHeight="false" outlineLevel="0" collapsed="false">
      <c r="A107" s="5" t="s">
        <v>89</v>
      </c>
      <c r="B107" s="5" t="s">
        <v>90</v>
      </c>
      <c r="C107" s="5" t="s">
        <v>259</v>
      </c>
      <c r="D107" s="5" t="s">
        <v>255</v>
      </c>
      <c r="E107" s="5" t="s">
        <v>147</v>
      </c>
      <c r="F107" s="10" t="n">
        <f aca="false">SUMIFS(Salidas_REM!$I:$I,Salidas_REM!$D:$D,A107,Salidas_REM!$F:$F,C107,Salidas_REM!$B:$B,$B$1,Salidas_REM!$C:$C,"Realizada")</f>
        <v>0</v>
      </c>
    </row>
    <row r="108" customFormat="false" ht="15" hidden="false" customHeight="false" outlineLevel="0" collapsed="false">
      <c r="A108" s="5" t="s">
        <v>89</v>
      </c>
      <c r="B108" s="5" t="s">
        <v>90</v>
      </c>
      <c r="C108" s="5" t="s">
        <v>260</v>
      </c>
      <c r="D108" s="5" t="s">
        <v>255</v>
      </c>
      <c r="E108" s="5" t="s">
        <v>149</v>
      </c>
      <c r="F108" s="10" t="n">
        <f aca="false">SUMIFS(Salidas_REM!$I:$I,Salidas_REM!$D:$D,A108,Salidas_REM!$F:$F,C108,Salidas_REM!$B:$B,$B$1,Salidas_REM!$C:$C,"Realizada")</f>
        <v>0</v>
      </c>
    </row>
    <row r="109" customFormat="false" ht="15" hidden="false" customHeight="false" outlineLevel="0" collapsed="false">
      <c r="A109" s="5" t="s">
        <v>89</v>
      </c>
      <c r="B109" s="5" t="s">
        <v>90</v>
      </c>
      <c r="C109" s="5" t="s">
        <v>261</v>
      </c>
      <c r="D109" s="5" t="s">
        <v>255</v>
      </c>
      <c r="E109" s="5" t="s">
        <v>151</v>
      </c>
      <c r="F109" s="10" t="n">
        <f aca="false">SUMIFS(Salidas_REM!$I:$I,Salidas_REM!$D:$D,A109,Salidas_REM!$F:$F,C109,Salidas_REM!$B:$B,$B$1,Salidas_REM!$C:$C,"Realizada")</f>
        <v>0</v>
      </c>
    </row>
    <row r="110" customFormat="false" ht="15" hidden="false" customHeight="false" outlineLevel="0" collapsed="false">
      <c r="A110" s="5" t="s">
        <v>89</v>
      </c>
      <c r="B110" s="5" t="s">
        <v>90</v>
      </c>
      <c r="C110" s="5" t="s">
        <v>262</v>
      </c>
      <c r="D110" s="5" t="s">
        <v>255</v>
      </c>
      <c r="E110" s="5" t="s">
        <v>153</v>
      </c>
      <c r="F110" s="10" t="n">
        <f aca="false">SUMIFS(Salidas_REM!$I:$I,Salidas_REM!$D:$D,A110,Salidas_REM!$F:$F,C110,Salidas_REM!$B:$B,$B$1,Salidas_REM!$C:$C,"Realizada")</f>
        <v>0</v>
      </c>
    </row>
    <row r="111" customFormat="false" ht="15" hidden="false" customHeight="false" outlineLevel="0" collapsed="false">
      <c r="A111" s="5" t="s">
        <v>89</v>
      </c>
      <c r="B111" s="5" t="s">
        <v>90</v>
      </c>
      <c r="C111" s="5" t="s">
        <v>263</v>
      </c>
      <c r="D111" s="5" t="s">
        <v>255</v>
      </c>
      <c r="E111" s="5" t="s">
        <v>155</v>
      </c>
      <c r="F111" s="10" t="n">
        <f aca="false">SUMIFS(Salidas_REM!$I:$I,Salidas_REM!$D:$D,A111,Salidas_REM!$F:$F,C111,Salidas_REM!$B:$B,$B$1,Salidas_REM!$C:$C,"Realizada")</f>
        <v>0</v>
      </c>
    </row>
    <row r="112" customFormat="false" ht="15" hidden="false" customHeight="false" outlineLevel="0" collapsed="false">
      <c r="A112" s="5" t="s">
        <v>89</v>
      </c>
      <c r="B112" s="5" t="s">
        <v>90</v>
      </c>
      <c r="C112" s="5" t="s">
        <v>264</v>
      </c>
      <c r="D112" s="5" t="s">
        <v>255</v>
      </c>
      <c r="E112" s="5" t="s">
        <v>157</v>
      </c>
      <c r="F112" s="10" t="n">
        <f aca="false">SUMIFS(Salidas_REM!$I:$I,Salidas_REM!$D:$D,A112,Salidas_REM!$F:$F,C112,Salidas_REM!$B:$B,$B$1,Salidas_REM!$C:$C,"Realizada")</f>
        <v>0</v>
      </c>
    </row>
    <row r="113" customFormat="false" ht="15" hidden="false" customHeight="false" outlineLevel="0" collapsed="false">
      <c r="A113" s="5" t="s">
        <v>89</v>
      </c>
      <c r="B113" s="5" t="s">
        <v>90</v>
      </c>
      <c r="C113" s="5" t="s">
        <v>265</v>
      </c>
      <c r="D113" s="5" t="s">
        <v>255</v>
      </c>
      <c r="E113" s="5" t="s">
        <v>95</v>
      </c>
      <c r="F113" s="10" t="n">
        <f aca="false">SUMIFS(Salidas_REM!$I:$I,Salidas_REM!$D:$D,A113,Salidas_REM!$F:$F,C113,Salidas_REM!$B:$B,$B$1,Salidas_REM!$C:$C,"Realizada")</f>
        <v>0</v>
      </c>
    </row>
    <row r="114" customFormat="false" ht="15" hidden="false" customHeight="false" outlineLevel="0" collapsed="false">
      <c r="A114" s="5" t="s">
        <v>89</v>
      </c>
      <c r="B114" s="5" t="s">
        <v>90</v>
      </c>
      <c r="C114" s="5" t="s">
        <v>266</v>
      </c>
      <c r="D114" s="5" t="s">
        <v>267</v>
      </c>
      <c r="E114" s="5" t="s">
        <v>93</v>
      </c>
      <c r="F114" s="10" t="n">
        <f aca="false">SUMIFS(Salidas_REM!$I:$I,Salidas_REM!$D:$D,A114,Salidas_REM!$F:$F,C114,Salidas_REM!$B:$B,$B$1,Salidas_REM!$C:$C,"Realizada")</f>
        <v>0</v>
      </c>
    </row>
    <row r="115" customFormat="false" ht="15" hidden="false" customHeight="false" outlineLevel="0" collapsed="false">
      <c r="A115" s="5" t="s">
        <v>89</v>
      </c>
      <c r="B115" s="5" t="s">
        <v>90</v>
      </c>
      <c r="C115" s="5" t="s">
        <v>268</v>
      </c>
      <c r="D115" s="5" t="s">
        <v>267</v>
      </c>
      <c r="E115" s="5" t="s">
        <v>98</v>
      </c>
      <c r="F115" s="10" t="n">
        <f aca="false">SUMIFS(Salidas_REM!$I:$I,Salidas_REM!$D:$D,A115,Salidas_REM!$F:$F,C115,Salidas_REM!$B:$B,$B$1,Salidas_REM!$C:$C,"Realizada")</f>
        <v>0</v>
      </c>
    </row>
    <row r="116" customFormat="false" ht="15" hidden="false" customHeight="false" outlineLevel="0" collapsed="false">
      <c r="A116" s="5" t="s">
        <v>89</v>
      </c>
      <c r="B116" s="5" t="s">
        <v>90</v>
      </c>
      <c r="C116" s="5" t="s">
        <v>269</v>
      </c>
      <c r="D116" s="5" t="s">
        <v>267</v>
      </c>
      <c r="E116" s="5" t="s">
        <v>143</v>
      </c>
      <c r="F116" s="10" t="n">
        <f aca="false">SUMIFS(Salidas_REM!$I:$I,Salidas_REM!$D:$D,A116,Salidas_REM!$F:$F,C116,Salidas_REM!$B:$B,$B$1,Salidas_REM!$C:$C,"Realizada")</f>
        <v>0</v>
      </c>
    </row>
    <row r="117" customFormat="false" ht="15" hidden="false" customHeight="false" outlineLevel="0" collapsed="false">
      <c r="A117" s="5" t="s">
        <v>89</v>
      </c>
      <c r="B117" s="5" t="s">
        <v>90</v>
      </c>
      <c r="C117" s="5" t="s">
        <v>270</v>
      </c>
      <c r="D117" s="5" t="s">
        <v>267</v>
      </c>
      <c r="E117" s="5" t="s">
        <v>145</v>
      </c>
      <c r="F117" s="10" t="n">
        <f aca="false">SUMIFS(Salidas_REM!$I:$I,Salidas_REM!$D:$D,A117,Salidas_REM!$F:$F,C117,Salidas_REM!$B:$B,$B$1,Salidas_REM!$C:$C,"Realizada")</f>
        <v>0</v>
      </c>
    </row>
    <row r="118" customFormat="false" ht="15" hidden="false" customHeight="false" outlineLevel="0" collapsed="false">
      <c r="A118" s="5" t="s">
        <v>89</v>
      </c>
      <c r="B118" s="5" t="s">
        <v>90</v>
      </c>
      <c r="C118" s="5" t="s">
        <v>271</v>
      </c>
      <c r="D118" s="5" t="s">
        <v>267</v>
      </c>
      <c r="E118" s="5" t="s">
        <v>147</v>
      </c>
      <c r="F118" s="10" t="n">
        <f aca="false">SUMIFS(Salidas_REM!$I:$I,Salidas_REM!$D:$D,A118,Salidas_REM!$F:$F,C118,Salidas_REM!$B:$B,$B$1,Salidas_REM!$C:$C,"Realizada")</f>
        <v>0</v>
      </c>
    </row>
    <row r="119" customFormat="false" ht="15" hidden="false" customHeight="false" outlineLevel="0" collapsed="false">
      <c r="A119" s="5" t="s">
        <v>89</v>
      </c>
      <c r="B119" s="5" t="s">
        <v>90</v>
      </c>
      <c r="C119" s="5" t="s">
        <v>272</v>
      </c>
      <c r="D119" s="5" t="s">
        <v>267</v>
      </c>
      <c r="E119" s="5" t="s">
        <v>149</v>
      </c>
      <c r="F119" s="10" t="n">
        <f aca="false">SUMIFS(Salidas_REM!$I:$I,Salidas_REM!$D:$D,A119,Salidas_REM!$F:$F,C119,Salidas_REM!$B:$B,$B$1,Salidas_REM!$C:$C,"Realizada")</f>
        <v>0</v>
      </c>
    </row>
    <row r="120" customFormat="false" ht="15" hidden="false" customHeight="false" outlineLevel="0" collapsed="false">
      <c r="A120" s="5" t="s">
        <v>89</v>
      </c>
      <c r="B120" s="5" t="s">
        <v>90</v>
      </c>
      <c r="C120" s="5" t="s">
        <v>273</v>
      </c>
      <c r="D120" s="5" t="s">
        <v>267</v>
      </c>
      <c r="E120" s="5" t="s">
        <v>151</v>
      </c>
      <c r="F120" s="10" t="n">
        <f aca="false">SUMIFS(Salidas_REM!$I:$I,Salidas_REM!$D:$D,A120,Salidas_REM!$F:$F,C120,Salidas_REM!$B:$B,$B$1,Salidas_REM!$C:$C,"Realizada")</f>
        <v>0</v>
      </c>
    </row>
    <row r="121" customFormat="false" ht="15" hidden="false" customHeight="false" outlineLevel="0" collapsed="false">
      <c r="A121" s="5" t="s">
        <v>89</v>
      </c>
      <c r="B121" s="5" t="s">
        <v>90</v>
      </c>
      <c r="C121" s="5" t="s">
        <v>274</v>
      </c>
      <c r="D121" s="5" t="s">
        <v>267</v>
      </c>
      <c r="E121" s="5" t="s">
        <v>153</v>
      </c>
      <c r="F121" s="10" t="n">
        <f aca="false">SUMIFS(Salidas_REM!$I:$I,Salidas_REM!$D:$D,A121,Salidas_REM!$F:$F,C121,Salidas_REM!$B:$B,$B$1,Salidas_REM!$C:$C,"Realizada")</f>
        <v>0</v>
      </c>
    </row>
    <row r="122" customFormat="false" ht="15" hidden="false" customHeight="false" outlineLevel="0" collapsed="false">
      <c r="A122" s="5" t="s">
        <v>89</v>
      </c>
      <c r="B122" s="5" t="s">
        <v>90</v>
      </c>
      <c r="C122" s="5" t="s">
        <v>275</v>
      </c>
      <c r="D122" s="5" t="s">
        <v>267</v>
      </c>
      <c r="E122" s="5" t="s">
        <v>155</v>
      </c>
      <c r="F122" s="10" t="n">
        <f aca="false">SUMIFS(Salidas_REM!$I:$I,Salidas_REM!$D:$D,A122,Salidas_REM!$F:$F,C122,Salidas_REM!$B:$B,$B$1,Salidas_REM!$C:$C,"Realizada")</f>
        <v>0</v>
      </c>
    </row>
    <row r="123" customFormat="false" ht="15" hidden="false" customHeight="false" outlineLevel="0" collapsed="false">
      <c r="A123" s="5" t="s">
        <v>89</v>
      </c>
      <c r="B123" s="5" t="s">
        <v>90</v>
      </c>
      <c r="C123" s="5" t="s">
        <v>276</v>
      </c>
      <c r="D123" s="5" t="s">
        <v>267</v>
      </c>
      <c r="E123" s="5" t="s">
        <v>157</v>
      </c>
      <c r="F123" s="10" t="n">
        <f aca="false">SUMIFS(Salidas_REM!$I:$I,Salidas_REM!$D:$D,A123,Salidas_REM!$F:$F,C123,Salidas_REM!$B:$B,$B$1,Salidas_REM!$C:$C,"Realizada")</f>
        <v>0</v>
      </c>
    </row>
    <row r="124" customFormat="false" ht="15" hidden="false" customHeight="false" outlineLevel="0" collapsed="false">
      <c r="A124" s="5" t="s">
        <v>89</v>
      </c>
      <c r="B124" s="5" t="s">
        <v>90</v>
      </c>
      <c r="C124" s="5" t="s">
        <v>277</v>
      </c>
      <c r="D124" s="5" t="s">
        <v>267</v>
      </c>
      <c r="E124" s="5" t="s">
        <v>95</v>
      </c>
      <c r="F124" s="10" t="n">
        <f aca="false">SUMIFS(Salidas_REM!$I:$I,Salidas_REM!$D:$D,A124,Salidas_REM!$F:$F,C124,Salidas_REM!$B:$B,$B$1,Salidas_REM!$C:$C,"Realizada")</f>
        <v>0</v>
      </c>
    </row>
    <row r="125" customFormat="false" ht="15" hidden="false" customHeight="false" outlineLevel="0" collapsed="false">
      <c r="A125" s="5" t="s">
        <v>89</v>
      </c>
      <c r="B125" s="5" t="s">
        <v>90</v>
      </c>
      <c r="C125" s="5" t="s">
        <v>278</v>
      </c>
      <c r="D125" s="5" t="s">
        <v>279</v>
      </c>
      <c r="E125" s="5" t="s">
        <v>93</v>
      </c>
      <c r="F125" s="10" t="n">
        <f aca="false">SUMIFS(Salidas_REM!$I:$I,Salidas_REM!$D:$D,A125,Salidas_REM!$F:$F,C125,Salidas_REM!$B:$B,$B$1,Salidas_REM!$C:$C,"Realizada")</f>
        <v>0</v>
      </c>
    </row>
    <row r="126" customFormat="false" ht="15" hidden="false" customHeight="false" outlineLevel="0" collapsed="false">
      <c r="A126" s="5" t="s">
        <v>89</v>
      </c>
      <c r="B126" s="5" t="s">
        <v>90</v>
      </c>
      <c r="C126" s="5" t="s">
        <v>280</v>
      </c>
      <c r="D126" s="5" t="s">
        <v>279</v>
      </c>
      <c r="E126" s="5" t="s">
        <v>98</v>
      </c>
      <c r="F126" s="10" t="n">
        <f aca="false">SUMIFS(Salidas_REM!$I:$I,Salidas_REM!$D:$D,A126,Salidas_REM!$F:$F,C126,Salidas_REM!$B:$B,$B$1,Salidas_REM!$C:$C,"Realizada")</f>
        <v>0</v>
      </c>
    </row>
    <row r="127" customFormat="false" ht="15" hidden="false" customHeight="false" outlineLevel="0" collapsed="false">
      <c r="A127" s="5" t="s">
        <v>89</v>
      </c>
      <c r="B127" s="5" t="s">
        <v>90</v>
      </c>
      <c r="C127" s="5" t="s">
        <v>281</v>
      </c>
      <c r="D127" s="5" t="s">
        <v>279</v>
      </c>
      <c r="E127" s="5" t="s">
        <v>143</v>
      </c>
      <c r="F127" s="10" t="n">
        <f aca="false">SUMIFS(Salidas_REM!$I:$I,Salidas_REM!$D:$D,A127,Salidas_REM!$F:$F,C127,Salidas_REM!$B:$B,$B$1,Salidas_REM!$C:$C,"Realizada")</f>
        <v>0</v>
      </c>
    </row>
    <row r="128" customFormat="false" ht="15" hidden="false" customHeight="false" outlineLevel="0" collapsed="false">
      <c r="A128" s="5" t="s">
        <v>89</v>
      </c>
      <c r="B128" s="5" t="s">
        <v>90</v>
      </c>
      <c r="C128" s="5" t="s">
        <v>282</v>
      </c>
      <c r="D128" s="5" t="s">
        <v>279</v>
      </c>
      <c r="E128" s="5" t="s">
        <v>145</v>
      </c>
      <c r="F128" s="10" t="n">
        <f aca="false">SUMIFS(Salidas_REM!$I:$I,Salidas_REM!$D:$D,A128,Salidas_REM!$F:$F,C128,Salidas_REM!$B:$B,$B$1,Salidas_REM!$C:$C,"Realizada")</f>
        <v>0</v>
      </c>
    </row>
    <row r="129" customFormat="false" ht="15" hidden="false" customHeight="false" outlineLevel="0" collapsed="false">
      <c r="A129" s="5" t="s">
        <v>89</v>
      </c>
      <c r="B129" s="5" t="s">
        <v>90</v>
      </c>
      <c r="C129" s="5" t="s">
        <v>283</v>
      </c>
      <c r="D129" s="5" t="s">
        <v>279</v>
      </c>
      <c r="E129" s="5" t="s">
        <v>147</v>
      </c>
      <c r="F129" s="10" t="n">
        <f aca="false">SUMIFS(Salidas_REM!$I:$I,Salidas_REM!$D:$D,A129,Salidas_REM!$F:$F,C129,Salidas_REM!$B:$B,$B$1,Salidas_REM!$C:$C,"Realizada")</f>
        <v>0</v>
      </c>
    </row>
    <row r="130" customFormat="false" ht="15" hidden="false" customHeight="false" outlineLevel="0" collapsed="false">
      <c r="A130" s="5" t="s">
        <v>89</v>
      </c>
      <c r="B130" s="5" t="s">
        <v>90</v>
      </c>
      <c r="C130" s="5" t="s">
        <v>284</v>
      </c>
      <c r="D130" s="5" t="s">
        <v>279</v>
      </c>
      <c r="E130" s="5" t="s">
        <v>149</v>
      </c>
      <c r="F130" s="10" t="n">
        <f aca="false">SUMIFS(Salidas_REM!$I:$I,Salidas_REM!$D:$D,A130,Salidas_REM!$F:$F,C130,Salidas_REM!$B:$B,$B$1,Salidas_REM!$C:$C,"Realizada")</f>
        <v>0</v>
      </c>
    </row>
    <row r="131" customFormat="false" ht="15" hidden="false" customHeight="false" outlineLevel="0" collapsed="false">
      <c r="A131" s="5" t="s">
        <v>89</v>
      </c>
      <c r="B131" s="5" t="s">
        <v>90</v>
      </c>
      <c r="C131" s="5" t="s">
        <v>285</v>
      </c>
      <c r="D131" s="5" t="s">
        <v>279</v>
      </c>
      <c r="E131" s="5" t="s">
        <v>151</v>
      </c>
      <c r="F131" s="10" t="n">
        <f aca="false">SUMIFS(Salidas_REM!$I:$I,Salidas_REM!$D:$D,A131,Salidas_REM!$F:$F,C131,Salidas_REM!$B:$B,$B$1,Salidas_REM!$C:$C,"Realizada")</f>
        <v>0</v>
      </c>
    </row>
    <row r="132" customFormat="false" ht="15" hidden="false" customHeight="false" outlineLevel="0" collapsed="false">
      <c r="A132" s="5" t="s">
        <v>89</v>
      </c>
      <c r="B132" s="5" t="s">
        <v>90</v>
      </c>
      <c r="C132" s="5" t="s">
        <v>286</v>
      </c>
      <c r="D132" s="5" t="s">
        <v>279</v>
      </c>
      <c r="E132" s="5" t="s">
        <v>153</v>
      </c>
      <c r="F132" s="10" t="n">
        <f aca="false">SUMIFS(Salidas_REM!$I:$I,Salidas_REM!$D:$D,A132,Salidas_REM!$F:$F,C132,Salidas_REM!$B:$B,$B$1,Salidas_REM!$C:$C,"Realizada")</f>
        <v>0</v>
      </c>
    </row>
    <row r="133" customFormat="false" ht="15" hidden="false" customHeight="false" outlineLevel="0" collapsed="false">
      <c r="A133" s="5" t="s">
        <v>89</v>
      </c>
      <c r="B133" s="5" t="s">
        <v>90</v>
      </c>
      <c r="C133" s="5" t="s">
        <v>287</v>
      </c>
      <c r="D133" s="5" t="s">
        <v>279</v>
      </c>
      <c r="E133" s="5" t="s">
        <v>155</v>
      </c>
      <c r="F133" s="10" t="n">
        <f aca="false">SUMIFS(Salidas_REM!$I:$I,Salidas_REM!$D:$D,A133,Salidas_REM!$F:$F,C133,Salidas_REM!$B:$B,$B$1,Salidas_REM!$C:$C,"Realizada")</f>
        <v>0</v>
      </c>
    </row>
    <row r="134" customFormat="false" ht="15" hidden="false" customHeight="false" outlineLevel="0" collapsed="false">
      <c r="A134" s="5" t="s">
        <v>89</v>
      </c>
      <c r="B134" s="5" t="s">
        <v>90</v>
      </c>
      <c r="C134" s="5" t="s">
        <v>288</v>
      </c>
      <c r="D134" s="5" t="s">
        <v>279</v>
      </c>
      <c r="E134" s="5" t="s">
        <v>157</v>
      </c>
      <c r="F134" s="10" t="n">
        <f aca="false">SUMIFS(Salidas_REM!$I:$I,Salidas_REM!$D:$D,A134,Salidas_REM!$F:$F,C134,Salidas_REM!$B:$B,$B$1,Salidas_REM!$C:$C,"Realizada")</f>
        <v>0</v>
      </c>
    </row>
    <row r="135" customFormat="false" ht="15" hidden="false" customHeight="false" outlineLevel="0" collapsed="false">
      <c r="A135" s="5" t="s">
        <v>89</v>
      </c>
      <c r="B135" s="5" t="s">
        <v>90</v>
      </c>
      <c r="C135" s="5" t="s">
        <v>289</v>
      </c>
      <c r="D135" s="5" t="s">
        <v>279</v>
      </c>
      <c r="E135" s="5" t="s">
        <v>95</v>
      </c>
      <c r="F135" s="10" t="n">
        <f aca="false">SUMIFS(Salidas_REM!$I:$I,Salidas_REM!$D:$D,A135,Salidas_REM!$F:$F,C135,Salidas_REM!$B:$B,$B$1,Salidas_REM!$C:$C,"Realizada")</f>
        <v>0</v>
      </c>
    </row>
    <row r="136" customFormat="false" ht="15" hidden="false" customHeight="false" outlineLevel="0" collapsed="false">
      <c r="A136" s="5" t="s">
        <v>89</v>
      </c>
      <c r="B136" s="5" t="s">
        <v>90</v>
      </c>
      <c r="C136" s="5" t="s">
        <v>290</v>
      </c>
      <c r="D136" s="5" t="s">
        <v>291</v>
      </c>
      <c r="E136" s="5" t="s">
        <v>93</v>
      </c>
      <c r="F136" s="10" t="n">
        <f aca="false">SUMIFS(Salidas_REM!$I:$I,Salidas_REM!$D:$D,A136,Salidas_REM!$F:$F,C136,Salidas_REM!$B:$B,$B$1,Salidas_REM!$C:$C,"Realizada")</f>
        <v>0</v>
      </c>
    </row>
    <row r="137" customFormat="false" ht="15" hidden="false" customHeight="false" outlineLevel="0" collapsed="false">
      <c r="A137" s="5" t="s">
        <v>89</v>
      </c>
      <c r="B137" s="5" t="s">
        <v>90</v>
      </c>
      <c r="C137" s="5" t="s">
        <v>292</v>
      </c>
      <c r="D137" s="5" t="s">
        <v>291</v>
      </c>
      <c r="E137" s="5" t="s">
        <v>98</v>
      </c>
      <c r="F137" s="10" t="n">
        <f aca="false">SUMIFS(Salidas_REM!$I:$I,Salidas_REM!$D:$D,A137,Salidas_REM!$F:$F,C137,Salidas_REM!$B:$B,$B$1,Salidas_REM!$C:$C,"Realizada")</f>
        <v>0</v>
      </c>
    </row>
    <row r="138" customFormat="false" ht="15" hidden="false" customHeight="false" outlineLevel="0" collapsed="false">
      <c r="A138" s="5" t="s">
        <v>89</v>
      </c>
      <c r="B138" s="5" t="s">
        <v>90</v>
      </c>
      <c r="C138" s="5" t="s">
        <v>293</v>
      </c>
      <c r="D138" s="5" t="s">
        <v>291</v>
      </c>
      <c r="E138" s="5" t="s">
        <v>143</v>
      </c>
      <c r="F138" s="10" t="n">
        <f aca="false">SUMIFS(Salidas_REM!$I:$I,Salidas_REM!$D:$D,A138,Salidas_REM!$F:$F,C138,Salidas_REM!$B:$B,$B$1,Salidas_REM!$C:$C,"Realizada")</f>
        <v>0</v>
      </c>
    </row>
    <row r="139" customFormat="false" ht="15" hidden="false" customHeight="false" outlineLevel="0" collapsed="false">
      <c r="A139" s="5" t="s">
        <v>89</v>
      </c>
      <c r="B139" s="5" t="s">
        <v>90</v>
      </c>
      <c r="C139" s="5" t="s">
        <v>294</v>
      </c>
      <c r="D139" s="5" t="s">
        <v>291</v>
      </c>
      <c r="E139" s="5" t="s">
        <v>145</v>
      </c>
      <c r="F139" s="10" t="n">
        <f aca="false">SUMIFS(Salidas_REM!$I:$I,Salidas_REM!$D:$D,A139,Salidas_REM!$F:$F,C139,Salidas_REM!$B:$B,$B$1,Salidas_REM!$C:$C,"Realizada")</f>
        <v>0</v>
      </c>
    </row>
    <row r="140" customFormat="false" ht="15" hidden="false" customHeight="false" outlineLevel="0" collapsed="false">
      <c r="A140" s="5" t="s">
        <v>89</v>
      </c>
      <c r="B140" s="5" t="s">
        <v>90</v>
      </c>
      <c r="C140" s="5" t="s">
        <v>295</v>
      </c>
      <c r="D140" s="5" t="s">
        <v>291</v>
      </c>
      <c r="E140" s="5" t="s">
        <v>147</v>
      </c>
      <c r="F140" s="10" t="n">
        <f aca="false">SUMIFS(Salidas_REM!$I:$I,Salidas_REM!$D:$D,A140,Salidas_REM!$F:$F,C140,Salidas_REM!$B:$B,$B$1,Salidas_REM!$C:$C,"Realizada")</f>
        <v>0</v>
      </c>
    </row>
    <row r="141" customFormat="false" ht="15" hidden="false" customHeight="false" outlineLevel="0" collapsed="false">
      <c r="A141" s="5" t="s">
        <v>89</v>
      </c>
      <c r="B141" s="5" t="s">
        <v>90</v>
      </c>
      <c r="C141" s="5" t="s">
        <v>296</v>
      </c>
      <c r="D141" s="5" t="s">
        <v>291</v>
      </c>
      <c r="E141" s="5" t="s">
        <v>149</v>
      </c>
      <c r="F141" s="10" t="n">
        <f aca="false">SUMIFS(Salidas_REM!$I:$I,Salidas_REM!$D:$D,A141,Salidas_REM!$F:$F,C141,Salidas_REM!$B:$B,$B$1,Salidas_REM!$C:$C,"Realizada")</f>
        <v>0</v>
      </c>
    </row>
    <row r="142" customFormat="false" ht="15" hidden="false" customHeight="false" outlineLevel="0" collapsed="false">
      <c r="A142" s="5" t="s">
        <v>89</v>
      </c>
      <c r="B142" s="5" t="s">
        <v>90</v>
      </c>
      <c r="C142" s="5" t="s">
        <v>297</v>
      </c>
      <c r="D142" s="5" t="s">
        <v>291</v>
      </c>
      <c r="E142" s="5" t="s">
        <v>151</v>
      </c>
      <c r="F142" s="10" t="n">
        <f aca="false">SUMIFS(Salidas_REM!$I:$I,Salidas_REM!$D:$D,A142,Salidas_REM!$F:$F,C142,Salidas_REM!$B:$B,$B$1,Salidas_REM!$C:$C,"Realizada")</f>
        <v>0</v>
      </c>
    </row>
    <row r="143" customFormat="false" ht="15" hidden="false" customHeight="false" outlineLevel="0" collapsed="false">
      <c r="A143" s="5" t="s">
        <v>89</v>
      </c>
      <c r="B143" s="5" t="s">
        <v>90</v>
      </c>
      <c r="C143" s="5" t="s">
        <v>298</v>
      </c>
      <c r="D143" s="5" t="s">
        <v>291</v>
      </c>
      <c r="E143" s="5" t="s">
        <v>153</v>
      </c>
      <c r="F143" s="10" t="n">
        <f aca="false">SUMIFS(Salidas_REM!$I:$I,Salidas_REM!$D:$D,A143,Salidas_REM!$F:$F,C143,Salidas_REM!$B:$B,$B$1,Salidas_REM!$C:$C,"Realizada")</f>
        <v>0</v>
      </c>
    </row>
    <row r="144" customFormat="false" ht="15" hidden="false" customHeight="false" outlineLevel="0" collapsed="false">
      <c r="A144" s="5" t="s">
        <v>89</v>
      </c>
      <c r="B144" s="5" t="s">
        <v>90</v>
      </c>
      <c r="C144" s="5" t="s">
        <v>299</v>
      </c>
      <c r="D144" s="5" t="s">
        <v>291</v>
      </c>
      <c r="E144" s="5" t="s">
        <v>155</v>
      </c>
      <c r="F144" s="10" t="n">
        <f aca="false">SUMIFS(Salidas_REM!$I:$I,Salidas_REM!$D:$D,A144,Salidas_REM!$F:$F,C144,Salidas_REM!$B:$B,$B$1,Salidas_REM!$C:$C,"Realizada")</f>
        <v>0</v>
      </c>
    </row>
    <row r="145" customFormat="false" ht="15" hidden="false" customHeight="false" outlineLevel="0" collapsed="false">
      <c r="A145" s="5" t="s">
        <v>89</v>
      </c>
      <c r="B145" s="5" t="s">
        <v>90</v>
      </c>
      <c r="C145" s="5" t="s">
        <v>300</v>
      </c>
      <c r="D145" s="5" t="s">
        <v>291</v>
      </c>
      <c r="E145" s="5" t="s">
        <v>157</v>
      </c>
      <c r="F145" s="10" t="n">
        <f aca="false">SUMIFS(Salidas_REM!$I:$I,Salidas_REM!$D:$D,A145,Salidas_REM!$F:$F,C145,Salidas_REM!$B:$B,$B$1,Salidas_REM!$C:$C,"Realizada")</f>
        <v>0</v>
      </c>
    </row>
    <row r="146" customFormat="false" ht="15" hidden="false" customHeight="false" outlineLevel="0" collapsed="false">
      <c r="A146" s="5" t="s">
        <v>89</v>
      </c>
      <c r="B146" s="5" t="s">
        <v>90</v>
      </c>
      <c r="C146" s="5" t="s">
        <v>301</v>
      </c>
      <c r="D146" s="5" t="s">
        <v>291</v>
      </c>
      <c r="E146" s="5" t="s">
        <v>95</v>
      </c>
      <c r="F146" s="10" t="n">
        <f aca="false">SUMIFS(Salidas_REM!$I:$I,Salidas_REM!$D:$D,A146,Salidas_REM!$F:$F,C146,Salidas_REM!$B:$B,$B$1,Salidas_REM!$C:$C,"Realizada")</f>
        <v>0</v>
      </c>
    </row>
    <row r="147" customFormat="false" ht="15" hidden="false" customHeight="false" outlineLevel="0" collapsed="false">
      <c r="A147" s="5" t="s">
        <v>89</v>
      </c>
      <c r="B147" s="5" t="s">
        <v>90</v>
      </c>
      <c r="C147" s="5" t="s">
        <v>302</v>
      </c>
      <c r="D147" s="5" t="s">
        <v>303</v>
      </c>
      <c r="E147" s="5" t="s">
        <v>93</v>
      </c>
      <c r="F147" s="10" t="n">
        <f aca="false">SUMIFS(Salidas_REM!$I:$I,Salidas_REM!$D:$D,A147,Salidas_REM!$F:$F,C147,Salidas_REM!$B:$B,$B$1,Salidas_REM!$C:$C,"Realizada")</f>
        <v>0</v>
      </c>
    </row>
    <row r="148" customFormat="false" ht="15" hidden="false" customHeight="false" outlineLevel="0" collapsed="false">
      <c r="A148" s="5" t="s">
        <v>89</v>
      </c>
      <c r="B148" s="5" t="s">
        <v>90</v>
      </c>
      <c r="C148" s="5" t="s">
        <v>304</v>
      </c>
      <c r="D148" s="5" t="s">
        <v>303</v>
      </c>
      <c r="E148" s="5" t="s">
        <v>98</v>
      </c>
      <c r="F148" s="10" t="n">
        <f aca="false">SUMIFS(Salidas_REM!$I:$I,Salidas_REM!$D:$D,A148,Salidas_REM!$F:$F,C148,Salidas_REM!$B:$B,$B$1,Salidas_REM!$C:$C,"Realizada")</f>
        <v>0</v>
      </c>
    </row>
    <row r="149" customFormat="false" ht="15" hidden="false" customHeight="false" outlineLevel="0" collapsed="false">
      <c r="A149" s="5" t="s">
        <v>89</v>
      </c>
      <c r="B149" s="5" t="s">
        <v>90</v>
      </c>
      <c r="C149" s="5" t="s">
        <v>305</v>
      </c>
      <c r="D149" s="5" t="s">
        <v>303</v>
      </c>
      <c r="E149" s="5" t="s">
        <v>143</v>
      </c>
      <c r="F149" s="10" t="n">
        <f aca="false">SUMIFS(Salidas_REM!$I:$I,Salidas_REM!$D:$D,A149,Salidas_REM!$F:$F,C149,Salidas_REM!$B:$B,$B$1,Salidas_REM!$C:$C,"Realizada")</f>
        <v>0</v>
      </c>
    </row>
    <row r="150" customFormat="false" ht="15" hidden="false" customHeight="false" outlineLevel="0" collapsed="false">
      <c r="A150" s="5" t="s">
        <v>89</v>
      </c>
      <c r="B150" s="5" t="s">
        <v>90</v>
      </c>
      <c r="C150" s="5" t="s">
        <v>306</v>
      </c>
      <c r="D150" s="5" t="s">
        <v>303</v>
      </c>
      <c r="E150" s="5" t="s">
        <v>145</v>
      </c>
      <c r="F150" s="10" t="n">
        <f aca="false">SUMIFS(Salidas_REM!$I:$I,Salidas_REM!$D:$D,A150,Salidas_REM!$F:$F,C150,Salidas_REM!$B:$B,$B$1,Salidas_REM!$C:$C,"Realizada")</f>
        <v>0</v>
      </c>
    </row>
    <row r="151" customFormat="false" ht="15" hidden="false" customHeight="false" outlineLevel="0" collapsed="false">
      <c r="A151" s="5" t="s">
        <v>89</v>
      </c>
      <c r="B151" s="5" t="s">
        <v>90</v>
      </c>
      <c r="C151" s="5" t="s">
        <v>307</v>
      </c>
      <c r="D151" s="5" t="s">
        <v>303</v>
      </c>
      <c r="E151" s="5" t="s">
        <v>147</v>
      </c>
      <c r="F151" s="10" t="n">
        <f aca="false">SUMIFS(Salidas_REM!$I:$I,Salidas_REM!$D:$D,A151,Salidas_REM!$F:$F,C151,Salidas_REM!$B:$B,$B$1,Salidas_REM!$C:$C,"Realizada")</f>
        <v>0</v>
      </c>
    </row>
    <row r="152" customFormat="false" ht="15" hidden="false" customHeight="false" outlineLevel="0" collapsed="false">
      <c r="A152" s="5" t="s">
        <v>89</v>
      </c>
      <c r="B152" s="5" t="s">
        <v>90</v>
      </c>
      <c r="C152" s="5" t="s">
        <v>308</v>
      </c>
      <c r="D152" s="5" t="s">
        <v>303</v>
      </c>
      <c r="E152" s="5" t="s">
        <v>149</v>
      </c>
      <c r="F152" s="10" t="n">
        <f aca="false">SUMIFS(Salidas_REM!$I:$I,Salidas_REM!$D:$D,A152,Salidas_REM!$F:$F,C152,Salidas_REM!$B:$B,$B$1,Salidas_REM!$C:$C,"Realizada")</f>
        <v>0</v>
      </c>
    </row>
    <row r="153" customFormat="false" ht="15" hidden="false" customHeight="false" outlineLevel="0" collapsed="false">
      <c r="A153" s="5" t="s">
        <v>89</v>
      </c>
      <c r="B153" s="5" t="s">
        <v>90</v>
      </c>
      <c r="C153" s="5" t="s">
        <v>309</v>
      </c>
      <c r="D153" s="5" t="s">
        <v>303</v>
      </c>
      <c r="E153" s="5" t="s">
        <v>151</v>
      </c>
      <c r="F153" s="10" t="n">
        <f aca="false">SUMIFS(Salidas_REM!$I:$I,Salidas_REM!$D:$D,A153,Salidas_REM!$F:$F,C153,Salidas_REM!$B:$B,$B$1,Salidas_REM!$C:$C,"Realizada")</f>
        <v>0</v>
      </c>
    </row>
    <row r="154" customFormat="false" ht="15" hidden="false" customHeight="false" outlineLevel="0" collapsed="false">
      <c r="A154" s="5" t="s">
        <v>89</v>
      </c>
      <c r="B154" s="5" t="s">
        <v>90</v>
      </c>
      <c r="C154" s="5" t="s">
        <v>310</v>
      </c>
      <c r="D154" s="5" t="s">
        <v>303</v>
      </c>
      <c r="E154" s="5" t="s">
        <v>153</v>
      </c>
      <c r="F154" s="10" t="n">
        <f aca="false">SUMIFS(Salidas_REM!$I:$I,Salidas_REM!$D:$D,A154,Salidas_REM!$F:$F,C154,Salidas_REM!$B:$B,$B$1,Salidas_REM!$C:$C,"Realizada")</f>
        <v>0</v>
      </c>
    </row>
    <row r="155" customFormat="false" ht="15" hidden="false" customHeight="false" outlineLevel="0" collapsed="false">
      <c r="A155" s="5" t="s">
        <v>89</v>
      </c>
      <c r="B155" s="5" t="s">
        <v>90</v>
      </c>
      <c r="C155" s="5" t="s">
        <v>311</v>
      </c>
      <c r="D155" s="5" t="s">
        <v>303</v>
      </c>
      <c r="E155" s="5" t="s">
        <v>155</v>
      </c>
      <c r="F155" s="10" t="n">
        <f aca="false">SUMIFS(Salidas_REM!$I:$I,Salidas_REM!$D:$D,A155,Salidas_REM!$F:$F,C155,Salidas_REM!$B:$B,$B$1,Salidas_REM!$C:$C,"Realizada")</f>
        <v>0</v>
      </c>
    </row>
    <row r="156" customFormat="false" ht="15" hidden="false" customHeight="false" outlineLevel="0" collapsed="false">
      <c r="A156" s="5" t="s">
        <v>89</v>
      </c>
      <c r="B156" s="5" t="s">
        <v>90</v>
      </c>
      <c r="C156" s="5" t="s">
        <v>312</v>
      </c>
      <c r="D156" s="5" t="s">
        <v>303</v>
      </c>
      <c r="E156" s="5" t="s">
        <v>157</v>
      </c>
      <c r="F156" s="10" t="n">
        <f aca="false">SUMIFS(Salidas_REM!$I:$I,Salidas_REM!$D:$D,A156,Salidas_REM!$F:$F,C156,Salidas_REM!$B:$B,$B$1,Salidas_REM!$C:$C,"Realizada")</f>
        <v>0</v>
      </c>
    </row>
    <row r="157" customFormat="false" ht="15" hidden="false" customHeight="false" outlineLevel="0" collapsed="false">
      <c r="A157" s="5" t="s">
        <v>89</v>
      </c>
      <c r="B157" s="5" t="s">
        <v>90</v>
      </c>
      <c r="C157" s="5" t="s">
        <v>313</v>
      </c>
      <c r="D157" s="5" t="s">
        <v>303</v>
      </c>
      <c r="E157" s="5" t="s">
        <v>95</v>
      </c>
      <c r="F157" s="10" t="n">
        <f aca="false">SUMIFS(Salidas_REM!$I:$I,Salidas_REM!$D:$D,A157,Salidas_REM!$F:$F,C157,Salidas_REM!$B:$B,$B$1,Salidas_REM!$C:$C,"Realizada")</f>
        <v>0</v>
      </c>
    </row>
    <row r="158" customFormat="false" ht="15" hidden="false" customHeight="false" outlineLevel="0" collapsed="false">
      <c r="A158" s="5" t="s">
        <v>89</v>
      </c>
      <c r="B158" s="5" t="s">
        <v>90</v>
      </c>
      <c r="C158" s="5" t="s">
        <v>314</v>
      </c>
      <c r="D158" s="5" t="s">
        <v>315</v>
      </c>
      <c r="E158" s="5" t="s">
        <v>93</v>
      </c>
      <c r="F158" s="10" t="n">
        <f aca="false">SUMIFS(Salidas_REM!$I:$I,Salidas_REM!$D:$D,A158,Salidas_REM!$F:$F,C158,Salidas_REM!$B:$B,$B$1,Salidas_REM!$C:$C,"Realizada")</f>
        <v>0</v>
      </c>
    </row>
    <row r="159" customFormat="false" ht="15" hidden="false" customHeight="false" outlineLevel="0" collapsed="false">
      <c r="A159" s="5" t="s">
        <v>89</v>
      </c>
      <c r="B159" s="5" t="s">
        <v>90</v>
      </c>
      <c r="C159" s="5" t="s">
        <v>316</v>
      </c>
      <c r="D159" s="5" t="s">
        <v>315</v>
      </c>
      <c r="E159" s="5" t="s">
        <v>98</v>
      </c>
      <c r="F159" s="10" t="n">
        <f aca="false">SUMIFS(Salidas_REM!$I:$I,Salidas_REM!$D:$D,A159,Salidas_REM!$F:$F,C159,Salidas_REM!$B:$B,$B$1,Salidas_REM!$C:$C,"Realizada")</f>
        <v>0</v>
      </c>
    </row>
    <row r="160" customFormat="false" ht="15" hidden="false" customHeight="false" outlineLevel="0" collapsed="false">
      <c r="A160" s="5" t="s">
        <v>89</v>
      </c>
      <c r="B160" s="5" t="s">
        <v>90</v>
      </c>
      <c r="C160" s="5" t="s">
        <v>317</v>
      </c>
      <c r="D160" s="5" t="s">
        <v>315</v>
      </c>
      <c r="E160" s="5" t="s">
        <v>143</v>
      </c>
      <c r="F160" s="10" t="n">
        <f aca="false">SUMIFS(Salidas_REM!$I:$I,Salidas_REM!$D:$D,A160,Salidas_REM!$F:$F,C160,Salidas_REM!$B:$B,$B$1,Salidas_REM!$C:$C,"Realizada")</f>
        <v>0</v>
      </c>
    </row>
    <row r="161" customFormat="false" ht="15" hidden="false" customHeight="false" outlineLevel="0" collapsed="false">
      <c r="A161" s="5" t="s">
        <v>89</v>
      </c>
      <c r="B161" s="5" t="s">
        <v>90</v>
      </c>
      <c r="C161" s="5" t="s">
        <v>318</v>
      </c>
      <c r="D161" s="5" t="s">
        <v>315</v>
      </c>
      <c r="E161" s="5" t="s">
        <v>145</v>
      </c>
      <c r="F161" s="10" t="n">
        <f aca="false">SUMIFS(Salidas_REM!$I:$I,Salidas_REM!$D:$D,A161,Salidas_REM!$F:$F,C161,Salidas_REM!$B:$B,$B$1,Salidas_REM!$C:$C,"Realizada")</f>
        <v>0</v>
      </c>
    </row>
    <row r="162" customFormat="false" ht="15" hidden="false" customHeight="false" outlineLevel="0" collapsed="false">
      <c r="A162" s="5" t="s">
        <v>89</v>
      </c>
      <c r="B162" s="5" t="s">
        <v>90</v>
      </c>
      <c r="C162" s="5" t="s">
        <v>319</v>
      </c>
      <c r="D162" s="5" t="s">
        <v>315</v>
      </c>
      <c r="E162" s="5" t="s">
        <v>147</v>
      </c>
      <c r="F162" s="10" t="n">
        <f aca="false">SUMIFS(Salidas_REM!$I:$I,Salidas_REM!$D:$D,A162,Salidas_REM!$F:$F,C162,Salidas_REM!$B:$B,$B$1,Salidas_REM!$C:$C,"Realizada")</f>
        <v>0</v>
      </c>
    </row>
    <row r="163" customFormat="false" ht="15" hidden="false" customHeight="false" outlineLevel="0" collapsed="false">
      <c r="A163" s="5" t="s">
        <v>89</v>
      </c>
      <c r="B163" s="5" t="s">
        <v>90</v>
      </c>
      <c r="C163" s="5" t="s">
        <v>320</v>
      </c>
      <c r="D163" s="5" t="s">
        <v>315</v>
      </c>
      <c r="E163" s="5" t="s">
        <v>149</v>
      </c>
      <c r="F163" s="10" t="n">
        <f aca="false">SUMIFS(Salidas_REM!$I:$I,Salidas_REM!$D:$D,A163,Salidas_REM!$F:$F,C163,Salidas_REM!$B:$B,$B$1,Salidas_REM!$C:$C,"Realizada")</f>
        <v>0</v>
      </c>
    </row>
    <row r="164" customFormat="false" ht="15" hidden="false" customHeight="false" outlineLevel="0" collapsed="false">
      <c r="A164" s="5" t="s">
        <v>89</v>
      </c>
      <c r="B164" s="5" t="s">
        <v>90</v>
      </c>
      <c r="C164" s="5" t="s">
        <v>321</v>
      </c>
      <c r="D164" s="5" t="s">
        <v>315</v>
      </c>
      <c r="E164" s="5" t="s">
        <v>151</v>
      </c>
      <c r="F164" s="10" t="n">
        <f aca="false">SUMIFS(Salidas_REM!$I:$I,Salidas_REM!$D:$D,A164,Salidas_REM!$F:$F,C164,Salidas_REM!$B:$B,$B$1,Salidas_REM!$C:$C,"Realizada")</f>
        <v>0</v>
      </c>
    </row>
    <row r="165" customFormat="false" ht="15" hidden="false" customHeight="false" outlineLevel="0" collapsed="false">
      <c r="A165" s="5" t="s">
        <v>89</v>
      </c>
      <c r="B165" s="5" t="s">
        <v>90</v>
      </c>
      <c r="C165" s="5" t="s">
        <v>322</v>
      </c>
      <c r="D165" s="5" t="s">
        <v>315</v>
      </c>
      <c r="E165" s="5" t="s">
        <v>153</v>
      </c>
      <c r="F165" s="10" t="n">
        <f aca="false">SUMIFS(Salidas_REM!$I:$I,Salidas_REM!$D:$D,A165,Salidas_REM!$F:$F,C165,Salidas_REM!$B:$B,$B$1,Salidas_REM!$C:$C,"Realizada")</f>
        <v>0</v>
      </c>
    </row>
    <row r="166" customFormat="false" ht="15" hidden="false" customHeight="false" outlineLevel="0" collapsed="false">
      <c r="A166" s="5" t="s">
        <v>89</v>
      </c>
      <c r="B166" s="5" t="s">
        <v>90</v>
      </c>
      <c r="C166" s="5" t="s">
        <v>323</v>
      </c>
      <c r="D166" s="5" t="s">
        <v>315</v>
      </c>
      <c r="E166" s="5" t="s">
        <v>155</v>
      </c>
      <c r="F166" s="10" t="n">
        <f aca="false">SUMIFS(Salidas_REM!$I:$I,Salidas_REM!$D:$D,A166,Salidas_REM!$F:$F,C166,Salidas_REM!$B:$B,$B$1,Salidas_REM!$C:$C,"Realizada")</f>
        <v>0</v>
      </c>
    </row>
    <row r="167" customFormat="false" ht="15" hidden="false" customHeight="false" outlineLevel="0" collapsed="false">
      <c r="A167" s="5" t="s">
        <v>89</v>
      </c>
      <c r="B167" s="5" t="s">
        <v>90</v>
      </c>
      <c r="C167" s="5" t="s">
        <v>324</v>
      </c>
      <c r="D167" s="5" t="s">
        <v>315</v>
      </c>
      <c r="E167" s="5" t="s">
        <v>157</v>
      </c>
      <c r="F167" s="10" t="n">
        <f aca="false">SUMIFS(Salidas_REM!$I:$I,Salidas_REM!$D:$D,A167,Salidas_REM!$F:$F,C167,Salidas_REM!$B:$B,$B$1,Salidas_REM!$C:$C,"Realizada")</f>
        <v>0</v>
      </c>
    </row>
    <row r="168" customFormat="false" ht="15" hidden="false" customHeight="false" outlineLevel="0" collapsed="false">
      <c r="A168" s="5" t="s">
        <v>89</v>
      </c>
      <c r="B168" s="5" t="s">
        <v>90</v>
      </c>
      <c r="C168" s="5" t="s">
        <v>325</v>
      </c>
      <c r="D168" s="5" t="s">
        <v>315</v>
      </c>
      <c r="E168" s="5" t="s">
        <v>95</v>
      </c>
      <c r="F168" s="10" t="n">
        <f aca="false">SUMIFS(Salidas_REM!$I:$I,Salidas_REM!$D:$D,A168,Salidas_REM!$F:$F,C168,Salidas_REM!$B:$B,$B$1,Salidas_REM!$C:$C,"Realizada")</f>
        <v>0</v>
      </c>
    </row>
    <row r="169" customFormat="false" ht="15" hidden="false" customHeight="false" outlineLevel="0" collapsed="false">
      <c r="A169" s="5" t="s">
        <v>89</v>
      </c>
      <c r="B169" s="5" t="s">
        <v>90</v>
      </c>
      <c r="C169" s="5" t="s">
        <v>326</v>
      </c>
      <c r="D169" s="5" t="s">
        <v>97</v>
      </c>
      <c r="E169" s="5" t="s">
        <v>93</v>
      </c>
      <c r="F169" s="10" t="n">
        <f aca="false">SUMIFS(Salidas_REM!$I:$I,Salidas_REM!$D:$D,A169,Salidas_REM!$F:$F,C169,Salidas_REM!$B:$B,$B$1,Salidas_REM!$C:$C,"Realizada")</f>
        <v>0</v>
      </c>
    </row>
    <row r="170" customFormat="false" ht="15" hidden="false" customHeight="false" outlineLevel="0" collapsed="false">
      <c r="A170" s="5" t="s">
        <v>89</v>
      </c>
      <c r="B170" s="5" t="s">
        <v>90</v>
      </c>
      <c r="C170" s="5" t="s">
        <v>96</v>
      </c>
      <c r="D170" s="5" t="s">
        <v>97</v>
      </c>
      <c r="E170" s="5" t="s">
        <v>98</v>
      </c>
      <c r="F170" s="10" t="n">
        <f aca="false">SUMIFS(Salidas_REM!$I:$I,Salidas_REM!$D:$D,A170,Salidas_REM!$F:$F,C170,Salidas_REM!$B:$B,$B$1,Salidas_REM!$C:$C,"Realizada")</f>
        <v>1</v>
      </c>
    </row>
    <row r="171" customFormat="false" ht="15" hidden="false" customHeight="false" outlineLevel="0" collapsed="false">
      <c r="A171" s="5" t="s">
        <v>89</v>
      </c>
      <c r="B171" s="5" t="s">
        <v>90</v>
      </c>
      <c r="C171" s="5" t="s">
        <v>327</v>
      </c>
      <c r="D171" s="5" t="s">
        <v>97</v>
      </c>
      <c r="E171" s="5" t="s">
        <v>143</v>
      </c>
      <c r="F171" s="10" t="n">
        <f aca="false">SUMIFS(Salidas_REM!$I:$I,Salidas_REM!$D:$D,A171,Salidas_REM!$F:$F,C171,Salidas_REM!$B:$B,$B$1,Salidas_REM!$C:$C,"Realizada")</f>
        <v>0</v>
      </c>
    </row>
    <row r="172" customFormat="false" ht="15" hidden="false" customHeight="false" outlineLevel="0" collapsed="false">
      <c r="A172" s="5" t="s">
        <v>89</v>
      </c>
      <c r="B172" s="5" t="s">
        <v>90</v>
      </c>
      <c r="C172" s="5" t="s">
        <v>328</v>
      </c>
      <c r="D172" s="5" t="s">
        <v>97</v>
      </c>
      <c r="E172" s="5" t="s">
        <v>145</v>
      </c>
      <c r="F172" s="10" t="n">
        <f aca="false">SUMIFS(Salidas_REM!$I:$I,Salidas_REM!$D:$D,A172,Salidas_REM!$F:$F,C172,Salidas_REM!$B:$B,$B$1,Salidas_REM!$C:$C,"Realizada")</f>
        <v>0</v>
      </c>
    </row>
    <row r="173" customFormat="false" ht="15" hidden="false" customHeight="false" outlineLevel="0" collapsed="false">
      <c r="A173" s="5" t="s">
        <v>89</v>
      </c>
      <c r="B173" s="5" t="s">
        <v>90</v>
      </c>
      <c r="C173" s="5" t="s">
        <v>329</v>
      </c>
      <c r="D173" s="5" t="s">
        <v>97</v>
      </c>
      <c r="E173" s="5" t="s">
        <v>147</v>
      </c>
      <c r="F173" s="10" t="n">
        <f aca="false">SUMIFS(Salidas_REM!$I:$I,Salidas_REM!$D:$D,A173,Salidas_REM!$F:$F,C173,Salidas_REM!$B:$B,$B$1,Salidas_REM!$C:$C,"Realizada")</f>
        <v>0</v>
      </c>
    </row>
    <row r="174" customFormat="false" ht="15" hidden="false" customHeight="false" outlineLevel="0" collapsed="false">
      <c r="A174" s="5" t="s">
        <v>89</v>
      </c>
      <c r="B174" s="5" t="s">
        <v>90</v>
      </c>
      <c r="C174" s="5" t="s">
        <v>330</v>
      </c>
      <c r="D174" s="5" t="s">
        <v>97</v>
      </c>
      <c r="E174" s="5" t="s">
        <v>149</v>
      </c>
      <c r="F174" s="10" t="n">
        <f aca="false">SUMIFS(Salidas_REM!$I:$I,Salidas_REM!$D:$D,A174,Salidas_REM!$F:$F,C174,Salidas_REM!$B:$B,$B$1,Salidas_REM!$C:$C,"Realizada")</f>
        <v>0</v>
      </c>
    </row>
    <row r="175" customFormat="false" ht="15" hidden="false" customHeight="false" outlineLevel="0" collapsed="false">
      <c r="A175" s="5" t="s">
        <v>89</v>
      </c>
      <c r="B175" s="5" t="s">
        <v>90</v>
      </c>
      <c r="C175" s="5" t="s">
        <v>331</v>
      </c>
      <c r="D175" s="5" t="s">
        <v>97</v>
      </c>
      <c r="E175" s="5" t="s">
        <v>151</v>
      </c>
      <c r="F175" s="10" t="n">
        <f aca="false">SUMIFS(Salidas_REM!$I:$I,Salidas_REM!$D:$D,A175,Salidas_REM!$F:$F,C175,Salidas_REM!$B:$B,$B$1,Salidas_REM!$C:$C,"Realizada")</f>
        <v>0</v>
      </c>
    </row>
    <row r="176" customFormat="false" ht="15" hidden="false" customHeight="false" outlineLevel="0" collapsed="false">
      <c r="A176" s="5" t="s">
        <v>89</v>
      </c>
      <c r="B176" s="5" t="s">
        <v>90</v>
      </c>
      <c r="C176" s="5" t="s">
        <v>332</v>
      </c>
      <c r="D176" s="5" t="s">
        <v>97</v>
      </c>
      <c r="E176" s="5" t="s">
        <v>153</v>
      </c>
      <c r="F176" s="10" t="n">
        <f aca="false">SUMIFS(Salidas_REM!$I:$I,Salidas_REM!$D:$D,A176,Salidas_REM!$F:$F,C176,Salidas_REM!$B:$B,$B$1,Salidas_REM!$C:$C,"Realizada")</f>
        <v>0</v>
      </c>
    </row>
    <row r="177" customFormat="false" ht="15" hidden="false" customHeight="false" outlineLevel="0" collapsed="false">
      <c r="A177" s="5" t="s">
        <v>89</v>
      </c>
      <c r="B177" s="5" t="s">
        <v>90</v>
      </c>
      <c r="C177" s="5" t="s">
        <v>333</v>
      </c>
      <c r="D177" s="5" t="s">
        <v>97</v>
      </c>
      <c r="E177" s="5" t="s">
        <v>155</v>
      </c>
      <c r="F177" s="10" t="n">
        <f aca="false">SUMIFS(Salidas_REM!$I:$I,Salidas_REM!$D:$D,A177,Salidas_REM!$F:$F,C177,Salidas_REM!$B:$B,$B$1,Salidas_REM!$C:$C,"Realizada")</f>
        <v>0</v>
      </c>
    </row>
    <row r="178" customFormat="false" ht="15" hidden="false" customHeight="false" outlineLevel="0" collapsed="false">
      <c r="A178" s="5" t="s">
        <v>89</v>
      </c>
      <c r="B178" s="5" t="s">
        <v>90</v>
      </c>
      <c r="C178" s="5" t="s">
        <v>334</v>
      </c>
      <c r="D178" s="5" t="s">
        <v>97</v>
      </c>
      <c r="E178" s="5" t="s">
        <v>157</v>
      </c>
      <c r="F178" s="10" t="n">
        <f aca="false">SUMIFS(Salidas_REM!$I:$I,Salidas_REM!$D:$D,A178,Salidas_REM!$F:$F,C178,Salidas_REM!$B:$B,$B$1,Salidas_REM!$C:$C,"Realizada")</f>
        <v>0</v>
      </c>
    </row>
    <row r="179" customFormat="false" ht="15" hidden="false" customHeight="false" outlineLevel="0" collapsed="false">
      <c r="A179" s="5" t="s">
        <v>89</v>
      </c>
      <c r="B179" s="5" t="s">
        <v>90</v>
      </c>
      <c r="C179" s="5" t="s">
        <v>99</v>
      </c>
      <c r="D179" s="5" t="s">
        <v>97</v>
      </c>
      <c r="E179" s="5" t="s">
        <v>95</v>
      </c>
      <c r="F179" s="10" t="n">
        <f aca="false">SUMIFS(Salidas_REM!$I:$I,Salidas_REM!$D:$D,A179,Salidas_REM!$F:$F,C179,Salidas_REM!$B:$B,$B$1,Salidas_REM!$C:$C,"Realizada")</f>
        <v>15</v>
      </c>
    </row>
    <row r="180" customFormat="false" ht="15" hidden="false" customHeight="false" outlineLevel="0" collapsed="false">
      <c r="A180" s="5" t="s">
        <v>89</v>
      </c>
      <c r="B180" s="5" t="s">
        <v>90</v>
      </c>
      <c r="C180" s="5" t="s">
        <v>335</v>
      </c>
      <c r="D180" s="5" t="s">
        <v>336</v>
      </c>
      <c r="E180" s="5" t="s">
        <v>93</v>
      </c>
      <c r="F180" s="10" t="n">
        <f aca="false">SUMIFS(Salidas_REM!$I:$I,Salidas_REM!$D:$D,A180,Salidas_REM!$F:$F,C180,Salidas_REM!$B:$B,$B$1,Salidas_REM!$C:$C,"Realizada")</f>
        <v>0</v>
      </c>
    </row>
    <row r="181" customFormat="false" ht="15" hidden="false" customHeight="false" outlineLevel="0" collapsed="false">
      <c r="A181" s="5" t="s">
        <v>89</v>
      </c>
      <c r="B181" s="5" t="s">
        <v>90</v>
      </c>
      <c r="C181" s="5" t="s">
        <v>337</v>
      </c>
      <c r="D181" s="5" t="s">
        <v>336</v>
      </c>
      <c r="E181" s="5" t="s">
        <v>98</v>
      </c>
      <c r="F181" s="10" t="n">
        <f aca="false">SUMIFS(Salidas_REM!$I:$I,Salidas_REM!$D:$D,A181,Salidas_REM!$F:$F,C181,Salidas_REM!$B:$B,$B$1,Salidas_REM!$C:$C,"Realizada")</f>
        <v>0</v>
      </c>
    </row>
    <row r="182" customFormat="false" ht="15" hidden="false" customHeight="false" outlineLevel="0" collapsed="false">
      <c r="A182" s="5" t="s">
        <v>89</v>
      </c>
      <c r="B182" s="5" t="s">
        <v>90</v>
      </c>
      <c r="C182" s="5" t="s">
        <v>338</v>
      </c>
      <c r="D182" s="5" t="s">
        <v>336</v>
      </c>
      <c r="E182" s="5" t="s">
        <v>143</v>
      </c>
      <c r="F182" s="10" t="n">
        <f aca="false">SUMIFS(Salidas_REM!$I:$I,Salidas_REM!$D:$D,A182,Salidas_REM!$F:$F,C182,Salidas_REM!$B:$B,$B$1,Salidas_REM!$C:$C,"Realizada")</f>
        <v>0</v>
      </c>
    </row>
    <row r="183" customFormat="false" ht="15" hidden="false" customHeight="false" outlineLevel="0" collapsed="false">
      <c r="A183" s="5" t="s">
        <v>89</v>
      </c>
      <c r="B183" s="5" t="s">
        <v>90</v>
      </c>
      <c r="C183" s="5" t="s">
        <v>339</v>
      </c>
      <c r="D183" s="5" t="s">
        <v>336</v>
      </c>
      <c r="E183" s="5" t="s">
        <v>145</v>
      </c>
      <c r="F183" s="10" t="n">
        <f aca="false">SUMIFS(Salidas_REM!$I:$I,Salidas_REM!$D:$D,A183,Salidas_REM!$F:$F,C183,Salidas_REM!$B:$B,$B$1,Salidas_REM!$C:$C,"Realizada")</f>
        <v>0</v>
      </c>
    </row>
    <row r="184" customFormat="false" ht="15" hidden="false" customHeight="false" outlineLevel="0" collapsed="false">
      <c r="A184" s="5" t="s">
        <v>89</v>
      </c>
      <c r="B184" s="5" t="s">
        <v>90</v>
      </c>
      <c r="C184" s="5" t="s">
        <v>340</v>
      </c>
      <c r="D184" s="5" t="s">
        <v>336</v>
      </c>
      <c r="E184" s="5" t="s">
        <v>147</v>
      </c>
      <c r="F184" s="10" t="n">
        <f aca="false">SUMIFS(Salidas_REM!$I:$I,Salidas_REM!$D:$D,A184,Salidas_REM!$F:$F,C184,Salidas_REM!$B:$B,$B$1,Salidas_REM!$C:$C,"Realizada")</f>
        <v>0</v>
      </c>
    </row>
    <row r="185" customFormat="false" ht="15" hidden="false" customHeight="false" outlineLevel="0" collapsed="false">
      <c r="A185" s="5" t="s">
        <v>89</v>
      </c>
      <c r="B185" s="5" t="s">
        <v>90</v>
      </c>
      <c r="C185" s="5" t="s">
        <v>341</v>
      </c>
      <c r="D185" s="5" t="s">
        <v>336</v>
      </c>
      <c r="E185" s="5" t="s">
        <v>149</v>
      </c>
      <c r="F185" s="10" t="n">
        <f aca="false">SUMIFS(Salidas_REM!$I:$I,Salidas_REM!$D:$D,A185,Salidas_REM!$F:$F,C185,Salidas_REM!$B:$B,$B$1,Salidas_REM!$C:$C,"Realizada")</f>
        <v>0</v>
      </c>
    </row>
    <row r="186" customFormat="false" ht="15" hidden="false" customHeight="false" outlineLevel="0" collapsed="false">
      <c r="A186" s="5" t="s">
        <v>89</v>
      </c>
      <c r="B186" s="5" t="s">
        <v>90</v>
      </c>
      <c r="C186" s="5" t="s">
        <v>342</v>
      </c>
      <c r="D186" s="5" t="s">
        <v>336</v>
      </c>
      <c r="E186" s="5" t="s">
        <v>151</v>
      </c>
      <c r="F186" s="10" t="n">
        <f aca="false">SUMIFS(Salidas_REM!$I:$I,Salidas_REM!$D:$D,A186,Salidas_REM!$F:$F,C186,Salidas_REM!$B:$B,$B$1,Salidas_REM!$C:$C,"Realizada")</f>
        <v>0</v>
      </c>
    </row>
    <row r="187" customFormat="false" ht="15" hidden="false" customHeight="false" outlineLevel="0" collapsed="false">
      <c r="A187" s="5" t="s">
        <v>89</v>
      </c>
      <c r="B187" s="5" t="s">
        <v>90</v>
      </c>
      <c r="C187" s="5" t="s">
        <v>343</v>
      </c>
      <c r="D187" s="5" t="s">
        <v>336</v>
      </c>
      <c r="E187" s="5" t="s">
        <v>153</v>
      </c>
      <c r="F187" s="10" t="n">
        <f aca="false">SUMIFS(Salidas_REM!$I:$I,Salidas_REM!$D:$D,A187,Salidas_REM!$F:$F,C187,Salidas_REM!$B:$B,$B$1,Salidas_REM!$C:$C,"Realizada")</f>
        <v>0</v>
      </c>
    </row>
    <row r="188" customFormat="false" ht="15" hidden="false" customHeight="false" outlineLevel="0" collapsed="false">
      <c r="A188" s="5" t="s">
        <v>89</v>
      </c>
      <c r="B188" s="5" t="s">
        <v>90</v>
      </c>
      <c r="C188" s="5" t="s">
        <v>344</v>
      </c>
      <c r="D188" s="5" t="s">
        <v>336</v>
      </c>
      <c r="E188" s="5" t="s">
        <v>155</v>
      </c>
      <c r="F188" s="10" t="n">
        <f aca="false">SUMIFS(Salidas_REM!$I:$I,Salidas_REM!$D:$D,A188,Salidas_REM!$F:$F,C188,Salidas_REM!$B:$B,$B$1,Salidas_REM!$C:$C,"Realizada")</f>
        <v>0</v>
      </c>
    </row>
    <row r="189" customFormat="false" ht="15" hidden="false" customHeight="false" outlineLevel="0" collapsed="false">
      <c r="A189" s="5" t="s">
        <v>89</v>
      </c>
      <c r="B189" s="5" t="s">
        <v>90</v>
      </c>
      <c r="C189" s="5" t="s">
        <v>345</v>
      </c>
      <c r="D189" s="5" t="s">
        <v>336</v>
      </c>
      <c r="E189" s="5" t="s">
        <v>157</v>
      </c>
      <c r="F189" s="10" t="n">
        <f aca="false">SUMIFS(Salidas_REM!$I:$I,Salidas_REM!$D:$D,A189,Salidas_REM!$F:$F,C189,Salidas_REM!$B:$B,$B$1,Salidas_REM!$C:$C,"Realizada")</f>
        <v>0</v>
      </c>
    </row>
    <row r="190" customFormat="false" ht="15" hidden="false" customHeight="false" outlineLevel="0" collapsed="false">
      <c r="A190" s="5" t="s">
        <v>89</v>
      </c>
      <c r="B190" s="5" t="s">
        <v>90</v>
      </c>
      <c r="C190" s="5" t="s">
        <v>346</v>
      </c>
      <c r="D190" s="5" t="s">
        <v>336</v>
      </c>
      <c r="E190" s="5" t="s">
        <v>95</v>
      </c>
      <c r="F190" s="10" t="n">
        <f aca="false">SUMIFS(Salidas_REM!$I:$I,Salidas_REM!$D:$D,A190,Salidas_REM!$F:$F,C190,Salidas_REM!$B:$B,$B$1,Salidas_REM!$C:$C,"Realizada")</f>
        <v>0</v>
      </c>
    </row>
    <row r="191" customFormat="false" ht="15" hidden="false" customHeight="false" outlineLevel="0" collapsed="false">
      <c r="A191" s="5" t="s">
        <v>89</v>
      </c>
      <c r="B191" s="5" t="s">
        <v>90</v>
      </c>
      <c r="C191" s="5" t="s">
        <v>347</v>
      </c>
      <c r="D191" s="5" t="s">
        <v>348</v>
      </c>
      <c r="E191" s="5" t="s">
        <v>93</v>
      </c>
      <c r="F191" s="10" t="n">
        <f aca="false">SUMIFS(Salidas_REM!$I:$I,Salidas_REM!$D:$D,A191,Salidas_REM!$F:$F,C191,Salidas_REM!$B:$B,$B$1,Salidas_REM!$C:$C,"Realizada")</f>
        <v>0</v>
      </c>
    </row>
    <row r="192" customFormat="false" ht="15" hidden="false" customHeight="false" outlineLevel="0" collapsed="false">
      <c r="A192" s="5" t="s">
        <v>89</v>
      </c>
      <c r="B192" s="5" t="s">
        <v>90</v>
      </c>
      <c r="C192" s="5" t="s">
        <v>349</v>
      </c>
      <c r="D192" s="5" t="s">
        <v>348</v>
      </c>
      <c r="E192" s="5" t="s">
        <v>98</v>
      </c>
      <c r="F192" s="10" t="n">
        <f aca="false">SUMIFS(Salidas_REM!$I:$I,Salidas_REM!$D:$D,A192,Salidas_REM!$F:$F,C192,Salidas_REM!$B:$B,$B$1,Salidas_REM!$C:$C,"Realizada")</f>
        <v>0</v>
      </c>
    </row>
    <row r="193" customFormat="false" ht="15" hidden="false" customHeight="false" outlineLevel="0" collapsed="false">
      <c r="A193" s="5" t="s">
        <v>89</v>
      </c>
      <c r="B193" s="5" t="s">
        <v>90</v>
      </c>
      <c r="C193" s="5" t="s">
        <v>350</v>
      </c>
      <c r="D193" s="5" t="s">
        <v>348</v>
      </c>
      <c r="E193" s="5" t="s">
        <v>143</v>
      </c>
      <c r="F193" s="10" t="n">
        <f aca="false">SUMIFS(Salidas_REM!$I:$I,Salidas_REM!$D:$D,A193,Salidas_REM!$F:$F,C193,Salidas_REM!$B:$B,$B$1,Salidas_REM!$C:$C,"Realizada")</f>
        <v>0</v>
      </c>
    </row>
    <row r="194" customFormat="false" ht="15" hidden="false" customHeight="false" outlineLevel="0" collapsed="false">
      <c r="A194" s="5" t="s">
        <v>89</v>
      </c>
      <c r="B194" s="5" t="s">
        <v>90</v>
      </c>
      <c r="C194" s="5" t="s">
        <v>351</v>
      </c>
      <c r="D194" s="5" t="s">
        <v>348</v>
      </c>
      <c r="E194" s="5" t="s">
        <v>145</v>
      </c>
      <c r="F194" s="10" t="n">
        <f aca="false">SUMIFS(Salidas_REM!$I:$I,Salidas_REM!$D:$D,A194,Salidas_REM!$F:$F,C194,Salidas_REM!$B:$B,$B$1,Salidas_REM!$C:$C,"Realizada")</f>
        <v>0</v>
      </c>
    </row>
    <row r="195" customFormat="false" ht="15" hidden="false" customHeight="false" outlineLevel="0" collapsed="false">
      <c r="A195" s="5" t="s">
        <v>89</v>
      </c>
      <c r="B195" s="5" t="s">
        <v>90</v>
      </c>
      <c r="C195" s="5" t="s">
        <v>352</v>
      </c>
      <c r="D195" s="5" t="s">
        <v>348</v>
      </c>
      <c r="E195" s="5" t="s">
        <v>147</v>
      </c>
      <c r="F195" s="10" t="n">
        <f aca="false">SUMIFS(Salidas_REM!$I:$I,Salidas_REM!$D:$D,A195,Salidas_REM!$F:$F,C195,Salidas_REM!$B:$B,$B$1,Salidas_REM!$C:$C,"Realizada")</f>
        <v>0</v>
      </c>
    </row>
    <row r="196" customFormat="false" ht="15" hidden="false" customHeight="false" outlineLevel="0" collapsed="false">
      <c r="A196" s="5" t="s">
        <v>89</v>
      </c>
      <c r="B196" s="5" t="s">
        <v>90</v>
      </c>
      <c r="C196" s="5" t="s">
        <v>353</v>
      </c>
      <c r="D196" s="5" t="s">
        <v>348</v>
      </c>
      <c r="E196" s="5" t="s">
        <v>149</v>
      </c>
      <c r="F196" s="10" t="n">
        <f aca="false">SUMIFS(Salidas_REM!$I:$I,Salidas_REM!$D:$D,A196,Salidas_REM!$F:$F,C196,Salidas_REM!$B:$B,$B$1,Salidas_REM!$C:$C,"Realizada")</f>
        <v>0</v>
      </c>
    </row>
    <row r="197" customFormat="false" ht="15" hidden="false" customHeight="false" outlineLevel="0" collapsed="false">
      <c r="A197" s="5" t="s">
        <v>89</v>
      </c>
      <c r="B197" s="5" t="s">
        <v>90</v>
      </c>
      <c r="C197" s="5" t="s">
        <v>354</v>
      </c>
      <c r="D197" s="5" t="s">
        <v>348</v>
      </c>
      <c r="E197" s="5" t="s">
        <v>151</v>
      </c>
      <c r="F197" s="10" t="n">
        <f aca="false">SUMIFS(Salidas_REM!$I:$I,Salidas_REM!$D:$D,A197,Salidas_REM!$F:$F,C197,Salidas_REM!$B:$B,$B$1,Salidas_REM!$C:$C,"Realizada")</f>
        <v>0</v>
      </c>
    </row>
    <row r="198" customFormat="false" ht="15" hidden="false" customHeight="false" outlineLevel="0" collapsed="false">
      <c r="A198" s="5" t="s">
        <v>89</v>
      </c>
      <c r="B198" s="5" t="s">
        <v>90</v>
      </c>
      <c r="C198" s="5" t="s">
        <v>355</v>
      </c>
      <c r="D198" s="5" t="s">
        <v>348</v>
      </c>
      <c r="E198" s="5" t="s">
        <v>153</v>
      </c>
      <c r="F198" s="10" t="n">
        <f aca="false">SUMIFS(Salidas_REM!$I:$I,Salidas_REM!$D:$D,A198,Salidas_REM!$F:$F,C198,Salidas_REM!$B:$B,$B$1,Salidas_REM!$C:$C,"Realizada")</f>
        <v>0</v>
      </c>
    </row>
    <row r="199" customFormat="false" ht="15" hidden="false" customHeight="false" outlineLevel="0" collapsed="false">
      <c r="A199" s="5" t="s">
        <v>89</v>
      </c>
      <c r="B199" s="5" t="s">
        <v>90</v>
      </c>
      <c r="C199" s="5" t="s">
        <v>356</v>
      </c>
      <c r="D199" s="5" t="s">
        <v>348</v>
      </c>
      <c r="E199" s="5" t="s">
        <v>155</v>
      </c>
      <c r="F199" s="10" t="n">
        <f aca="false">SUMIFS(Salidas_REM!$I:$I,Salidas_REM!$D:$D,A199,Salidas_REM!$F:$F,C199,Salidas_REM!$B:$B,$B$1,Salidas_REM!$C:$C,"Realizada")</f>
        <v>0</v>
      </c>
    </row>
    <row r="200" customFormat="false" ht="15" hidden="false" customHeight="false" outlineLevel="0" collapsed="false">
      <c r="A200" s="5" t="s">
        <v>89</v>
      </c>
      <c r="B200" s="5" t="s">
        <v>90</v>
      </c>
      <c r="C200" s="5" t="s">
        <v>357</v>
      </c>
      <c r="D200" s="5" t="s">
        <v>348</v>
      </c>
      <c r="E200" s="5" t="s">
        <v>157</v>
      </c>
      <c r="F200" s="10" t="n">
        <f aca="false">SUMIFS(Salidas_REM!$I:$I,Salidas_REM!$D:$D,A200,Salidas_REM!$F:$F,C200,Salidas_REM!$B:$B,$B$1,Salidas_REM!$C:$C,"Realizada")</f>
        <v>0</v>
      </c>
    </row>
    <row r="201" customFormat="false" ht="15" hidden="false" customHeight="false" outlineLevel="0" collapsed="false">
      <c r="A201" s="5" t="s">
        <v>89</v>
      </c>
      <c r="B201" s="5" t="s">
        <v>90</v>
      </c>
      <c r="C201" s="5" t="s">
        <v>358</v>
      </c>
      <c r="D201" s="5" t="s">
        <v>348</v>
      </c>
      <c r="E201" s="5" t="s">
        <v>95</v>
      </c>
      <c r="F201" s="10" t="n">
        <f aca="false">SUMIFS(Salidas_REM!$I:$I,Salidas_REM!$D:$D,A201,Salidas_REM!$F:$F,C201,Salidas_REM!$B:$B,$B$1,Salidas_REM!$C:$C,"Realizada")</f>
        <v>0</v>
      </c>
    </row>
    <row r="202" customFormat="false" ht="15" hidden="false" customHeight="false" outlineLevel="0" collapsed="false">
      <c r="A202" s="5" t="s">
        <v>89</v>
      </c>
      <c r="B202" s="5" t="s">
        <v>90</v>
      </c>
      <c r="C202" s="5" t="s">
        <v>359</v>
      </c>
      <c r="D202" s="5" t="s">
        <v>360</v>
      </c>
      <c r="E202" s="5" t="s">
        <v>93</v>
      </c>
      <c r="F202" s="10" t="n">
        <f aca="false">SUMIFS(Salidas_REM!$I:$I,Salidas_REM!$D:$D,A202,Salidas_REM!$F:$F,C202,Salidas_REM!$B:$B,$B$1,Salidas_REM!$C:$C,"Realizada")</f>
        <v>0</v>
      </c>
    </row>
    <row r="203" customFormat="false" ht="15" hidden="false" customHeight="false" outlineLevel="0" collapsed="false">
      <c r="A203" s="5" t="s">
        <v>89</v>
      </c>
      <c r="B203" s="5" t="s">
        <v>90</v>
      </c>
      <c r="C203" s="5" t="s">
        <v>361</v>
      </c>
      <c r="D203" s="5" t="s">
        <v>360</v>
      </c>
      <c r="E203" s="5" t="s">
        <v>98</v>
      </c>
      <c r="F203" s="10" t="n">
        <f aca="false">SUMIFS(Salidas_REM!$I:$I,Salidas_REM!$D:$D,A203,Salidas_REM!$F:$F,C203,Salidas_REM!$B:$B,$B$1,Salidas_REM!$C:$C,"Realizada")</f>
        <v>0</v>
      </c>
    </row>
    <row r="204" customFormat="false" ht="15" hidden="false" customHeight="false" outlineLevel="0" collapsed="false">
      <c r="A204" s="5" t="s">
        <v>89</v>
      </c>
      <c r="B204" s="5" t="s">
        <v>90</v>
      </c>
      <c r="C204" s="5" t="s">
        <v>362</v>
      </c>
      <c r="D204" s="5" t="s">
        <v>360</v>
      </c>
      <c r="E204" s="5" t="s">
        <v>143</v>
      </c>
      <c r="F204" s="10" t="n">
        <f aca="false">SUMIFS(Salidas_REM!$I:$I,Salidas_REM!$D:$D,A204,Salidas_REM!$F:$F,C204,Salidas_REM!$B:$B,$B$1,Salidas_REM!$C:$C,"Realizada")</f>
        <v>0</v>
      </c>
    </row>
    <row r="205" customFormat="false" ht="15" hidden="false" customHeight="false" outlineLevel="0" collapsed="false">
      <c r="A205" s="5" t="s">
        <v>89</v>
      </c>
      <c r="B205" s="5" t="s">
        <v>90</v>
      </c>
      <c r="C205" s="5" t="s">
        <v>363</v>
      </c>
      <c r="D205" s="5" t="s">
        <v>360</v>
      </c>
      <c r="E205" s="5" t="s">
        <v>145</v>
      </c>
      <c r="F205" s="10" t="n">
        <f aca="false">SUMIFS(Salidas_REM!$I:$I,Salidas_REM!$D:$D,A205,Salidas_REM!$F:$F,C205,Salidas_REM!$B:$B,$B$1,Salidas_REM!$C:$C,"Realizada")</f>
        <v>0</v>
      </c>
    </row>
    <row r="206" customFormat="false" ht="15" hidden="false" customHeight="false" outlineLevel="0" collapsed="false">
      <c r="A206" s="5" t="s">
        <v>89</v>
      </c>
      <c r="B206" s="5" t="s">
        <v>90</v>
      </c>
      <c r="C206" s="5" t="s">
        <v>364</v>
      </c>
      <c r="D206" s="5" t="s">
        <v>360</v>
      </c>
      <c r="E206" s="5" t="s">
        <v>147</v>
      </c>
      <c r="F206" s="10" t="n">
        <f aca="false">SUMIFS(Salidas_REM!$I:$I,Salidas_REM!$D:$D,A206,Salidas_REM!$F:$F,C206,Salidas_REM!$B:$B,$B$1,Salidas_REM!$C:$C,"Realizada")</f>
        <v>0</v>
      </c>
    </row>
    <row r="207" customFormat="false" ht="15" hidden="false" customHeight="false" outlineLevel="0" collapsed="false">
      <c r="A207" s="5" t="s">
        <v>89</v>
      </c>
      <c r="B207" s="5" t="s">
        <v>90</v>
      </c>
      <c r="C207" s="5" t="s">
        <v>365</v>
      </c>
      <c r="D207" s="5" t="s">
        <v>360</v>
      </c>
      <c r="E207" s="5" t="s">
        <v>149</v>
      </c>
      <c r="F207" s="10" t="n">
        <f aca="false">SUMIFS(Salidas_REM!$I:$I,Salidas_REM!$D:$D,A207,Salidas_REM!$F:$F,C207,Salidas_REM!$B:$B,$B$1,Salidas_REM!$C:$C,"Realizada")</f>
        <v>0</v>
      </c>
    </row>
    <row r="208" customFormat="false" ht="15" hidden="false" customHeight="false" outlineLevel="0" collapsed="false">
      <c r="A208" s="5" t="s">
        <v>89</v>
      </c>
      <c r="B208" s="5" t="s">
        <v>90</v>
      </c>
      <c r="C208" s="5" t="s">
        <v>366</v>
      </c>
      <c r="D208" s="5" t="s">
        <v>360</v>
      </c>
      <c r="E208" s="5" t="s">
        <v>151</v>
      </c>
      <c r="F208" s="10" t="n">
        <f aca="false">SUMIFS(Salidas_REM!$I:$I,Salidas_REM!$D:$D,A208,Salidas_REM!$F:$F,C208,Salidas_REM!$B:$B,$B$1,Salidas_REM!$C:$C,"Realizada")</f>
        <v>0</v>
      </c>
    </row>
    <row r="209" customFormat="false" ht="15" hidden="false" customHeight="false" outlineLevel="0" collapsed="false">
      <c r="A209" s="5" t="s">
        <v>89</v>
      </c>
      <c r="B209" s="5" t="s">
        <v>90</v>
      </c>
      <c r="C209" s="5" t="s">
        <v>367</v>
      </c>
      <c r="D209" s="5" t="s">
        <v>360</v>
      </c>
      <c r="E209" s="5" t="s">
        <v>153</v>
      </c>
      <c r="F209" s="10" t="n">
        <f aca="false">SUMIFS(Salidas_REM!$I:$I,Salidas_REM!$D:$D,A209,Salidas_REM!$F:$F,C209,Salidas_REM!$B:$B,$B$1,Salidas_REM!$C:$C,"Realizada")</f>
        <v>0</v>
      </c>
    </row>
    <row r="210" customFormat="false" ht="15" hidden="false" customHeight="false" outlineLevel="0" collapsed="false">
      <c r="A210" s="5" t="s">
        <v>89</v>
      </c>
      <c r="B210" s="5" t="s">
        <v>90</v>
      </c>
      <c r="C210" s="5" t="s">
        <v>368</v>
      </c>
      <c r="D210" s="5" t="s">
        <v>360</v>
      </c>
      <c r="E210" s="5" t="s">
        <v>155</v>
      </c>
      <c r="F210" s="10" t="n">
        <f aca="false">SUMIFS(Salidas_REM!$I:$I,Salidas_REM!$D:$D,A210,Salidas_REM!$F:$F,C210,Salidas_REM!$B:$B,$B$1,Salidas_REM!$C:$C,"Realizada")</f>
        <v>0</v>
      </c>
    </row>
    <row r="211" customFormat="false" ht="15" hidden="false" customHeight="false" outlineLevel="0" collapsed="false">
      <c r="A211" s="5" t="s">
        <v>89</v>
      </c>
      <c r="B211" s="5" t="s">
        <v>90</v>
      </c>
      <c r="C211" s="5" t="s">
        <v>369</v>
      </c>
      <c r="D211" s="5" t="s">
        <v>360</v>
      </c>
      <c r="E211" s="5" t="s">
        <v>157</v>
      </c>
      <c r="F211" s="10" t="n">
        <f aca="false">SUMIFS(Salidas_REM!$I:$I,Salidas_REM!$D:$D,A211,Salidas_REM!$F:$F,C211,Salidas_REM!$B:$B,$B$1,Salidas_REM!$C:$C,"Realizada")</f>
        <v>0</v>
      </c>
    </row>
    <row r="212" customFormat="false" ht="15" hidden="false" customHeight="false" outlineLevel="0" collapsed="false">
      <c r="A212" s="5" t="s">
        <v>89</v>
      </c>
      <c r="B212" s="5" t="s">
        <v>90</v>
      </c>
      <c r="C212" s="5" t="s">
        <v>370</v>
      </c>
      <c r="D212" s="5" t="s">
        <v>360</v>
      </c>
      <c r="E212" s="5" t="s">
        <v>95</v>
      </c>
      <c r="F212" s="10" t="n">
        <f aca="false">SUMIFS(Salidas_REM!$I:$I,Salidas_REM!$D:$D,A212,Salidas_REM!$F:$F,C212,Salidas_REM!$B:$B,$B$1,Salidas_REM!$C:$C,"Realizada")</f>
        <v>0</v>
      </c>
    </row>
    <row r="213" customFormat="false" ht="15" hidden="false" customHeight="false" outlineLevel="0" collapsed="false">
      <c r="A213" s="5" t="s">
        <v>89</v>
      </c>
      <c r="B213" s="5" t="s">
        <v>90</v>
      </c>
      <c r="C213" s="5" t="s">
        <v>371</v>
      </c>
      <c r="D213" s="5" t="s">
        <v>372</v>
      </c>
      <c r="E213" s="5" t="s">
        <v>93</v>
      </c>
      <c r="F213" s="10" t="n">
        <f aca="false">SUMIFS(Salidas_REM!$I:$I,Salidas_REM!$D:$D,A213,Salidas_REM!$F:$F,C213,Salidas_REM!$B:$B,$B$1,Salidas_REM!$C:$C,"Realizada")</f>
        <v>0</v>
      </c>
    </row>
    <row r="214" customFormat="false" ht="15" hidden="false" customHeight="false" outlineLevel="0" collapsed="false">
      <c r="A214" s="5" t="s">
        <v>89</v>
      </c>
      <c r="B214" s="5" t="s">
        <v>90</v>
      </c>
      <c r="C214" s="5" t="s">
        <v>373</v>
      </c>
      <c r="D214" s="5" t="s">
        <v>372</v>
      </c>
      <c r="E214" s="5" t="s">
        <v>98</v>
      </c>
      <c r="F214" s="10" t="n">
        <f aca="false">SUMIFS(Salidas_REM!$I:$I,Salidas_REM!$D:$D,A214,Salidas_REM!$F:$F,C214,Salidas_REM!$B:$B,$B$1,Salidas_REM!$C:$C,"Realizada")</f>
        <v>0</v>
      </c>
    </row>
    <row r="215" customFormat="false" ht="15" hidden="false" customHeight="false" outlineLevel="0" collapsed="false">
      <c r="A215" s="5" t="s">
        <v>89</v>
      </c>
      <c r="B215" s="5" t="s">
        <v>90</v>
      </c>
      <c r="C215" s="5" t="s">
        <v>374</v>
      </c>
      <c r="D215" s="5" t="s">
        <v>372</v>
      </c>
      <c r="E215" s="5" t="s">
        <v>143</v>
      </c>
      <c r="F215" s="10" t="n">
        <f aca="false">SUMIFS(Salidas_REM!$I:$I,Salidas_REM!$D:$D,A215,Salidas_REM!$F:$F,C215,Salidas_REM!$B:$B,$B$1,Salidas_REM!$C:$C,"Realizada")</f>
        <v>0</v>
      </c>
    </row>
    <row r="216" customFormat="false" ht="15" hidden="false" customHeight="false" outlineLevel="0" collapsed="false">
      <c r="A216" s="5" t="s">
        <v>89</v>
      </c>
      <c r="B216" s="5" t="s">
        <v>90</v>
      </c>
      <c r="C216" s="5" t="s">
        <v>375</v>
      </c>
      <c r="D216" s="5" t="s">
        <v>372</v>
      </c>
      <c r="E216" s="5" t="s">
        <v>145</v>
      </c>
      <c r="F216" s="10" t="n">
        <f aca="false">SUMIFS(Salidas_REM!$I:$I,Salidas_REM!$D:$D,A216,Salidas_REM!$F:$F,C216,Salidas_REM!$B:$B,$B$1,Salidas_REM!$C:$C,"Realizada")</f>
        <v>0</v>
      </c>
    </row>
    <row r="217" customFormat="false" ht="15" hidden="false" customHeight="false" outlineLevel="0" collapsed="false">
      <c r="A217" s="5" t="s">
        <v>89</v>
      </c>
      <c r="B217" s="5" t="s">
        <v>90</v>
      </c>
      <c r="C217" s="5" t="s">
        <v>376</v>
      </c>
      <c r="D217" s="5" t="s">
        <v>372</v>
      </c>
      <c r="E217" s="5" t="s">
        <v>147</v>
      </c>
      <c r="F217" s="10" t="n">
        <f aca="false">SUMIFS(Salidas_REM!$I:$I,Salidas_REM!$D:$D,A217,Salidas_REM!$F:$F,C217,Salidas_REM!$B:$B,$B$1,Salidas_REM!$C:$C,"Realizada")</f>
        <v>0</v>
      </c>
    </row>
    <row r="218" customFormat="false" ht="15" hidden="false" customHeight="false" outlineLevel="0" collapsed="false">
      <c r="A218" s="5" t="s">
        <v>89</v>
      </c>
      <c r="B218" s="5" t="s">
        <v>90</v>
      </c>
      <c r="C218" s="5" t="s">
        <v>377</v>
      </c>
      <c r="D218" s="5" t="s">
        <v>372</v>
      </c>
      <c r="E218" s="5" t="s">
        <v>149</v>
      </c>
      <c r="F218" s="10" t="n">
        <f aca="false">SUMIFS(Salidas_REM!$I:$I,Salidas_REM!$D:$D,A218,Salidas_REM!$F:$F,C218,Salidas_REM!$B:$B,$B$1,Salidas_REM!$C:$C,"Realizada")</f>
        <v>0</v>
      </c>
    </row>
    <row r="219" customFormat="false" ht="15" hidden="false" customHeight="false" outlineLevel="0" collapsed="false">
      <c r="A219" s="5" t="s">
        <v>89</v>
      </c>
      <c r="B219" s="5" t="s">
        <v>90</v>
      </c>
      <c r="C219" s="5" t="s">
        <v>378</v>
      </c>
      <c r="D219" s="5" t="s">
        <v>372</v>
      </c>
      <c r="E219" s="5" t="s">
        <v>151</v>
      </c>
      <c r="F219" s="10" t="n">
        <f aca="false">SUMIFS(Salidas_REM!$I:$I,Salidas_REM!$D:$D,A219,Salidas_REM!$F:$F,C219,Salidas_REM!$B:$B,$B$1,Salidas_REM!$C:$C,"Realizada")</f>
        <v>0</v>
      </c>
    </row>
    <row r="220" customFormat="false" ht="15" hidden="false" customHeight="false" outlineLevel="0" collapsed="false">
      <c r="A220" s="5" t="s">
        <v>89</v>
      </c>
      <c r="B220" s="5" t="s">
        <v>90</v>
      </c>
      <c r="C220" s="5" t="s">
        <v>379</v>
      </c>
      <c r="D220" s="5" t="s">
        <v>372</v>
      </c>
      <c r="E220" s="5" t="s">
        <v>153</v>
      </c>
      <c r="F220" s="10" t="n">
        <f aca="false">SUMIFS(Salidas_REM!$I:$I,Salidas_REM!$D:$D,A220,Salidas_REM!$F:$F,C220,Salidas_REM!$B:$B,$B$1,Salidas_REM!$C:$C,"Realizada")</f>
        <v>0</v>
      </c>
    </row>
    <row r="221" customFormat="false" ht="15" hidden="false" customHeight="false" outlineLevel="0" collapsed="false">
      <c r="A221" s="5" t="s">
        <v>89</v>
      </c>
      <c r="B221" s="5" t="s">
        <v>90</v>
      </c>
      <c r="C221" s="5" t="s">
        <v>380</v>
      </c>
      <c r="D221" s="5" t="s">
        <v>372</v>
      </c>
      <c r="E221" s="5" t="s">
        <v>155</v>
      </c>
      <c r="F221" s="10" t="n">
        <f aca="false">SUMIFS(Salidas_REM!$I:$I,Salidas_REM!$D:$D,A221,Salidas_REM!$F:$F,C221,Salidas_REM!$B:$B,$B$1,Salidas_REM!$C:$C,"Realizada")</f>
        <v>0</v>
      </c>
    </row>
    <row r="222" customFormat="false" ht="15" hidden="false" customHeight="false" outlineLevel="0" collapsed="false">
      <c r="A222" s="5" t="s">
        <v>89</v>
      </c>
      <c r="B222" s="5" t="s">
        <v>90</v>
      </c>
      <c r="C222" s="5" t="s">
        <v>381</v>
      </c>
      <c r="D222" s="5" t="s">
        <v>372</v>
      </c>
      <c r="E222" s="5" t="s">
        <v>157</v>
      </c>
      <c r="F222" s="10" t="n">
        <f aca="false">SUMIFS(Salidas_REM!$I:$I,Salidas_REM!$D:$D,A222,Salidas_REM!$F:$F,C222,Salidas_REM!$B:$B,$B$1,Salidas_REM!$C:$C,"Realizada")</f>
        <v>0</v>
      </c>
    </row>
    <row r="223" customFormat="false" ht="15" hidden="false" customHeight="false" outlineLevel="0" collapsed="false">
      <c r="A223" s="5" t="s">
        <v>89</v>
      </c>
      <c r="B223" s="5" t="s">
        <v>90</v>
      </c>
      <c r="C223" s="5" t="s">
        <v>382</v>
      </c>
      <c r="D223" s="5" t="s">
        <v>372</v>
      </c>
      <c r="E223" s="5" t="s">
        <v>95</v>
      </c>
      <c r="F223" s="10" t="n">
        <f aca="false">SUMIFS(Salidas_REM!$I:$I,Salidas_REM!$D:$D,A223,Salidas_REM!$F:$F,C223,Salidas_REM!$B:$B,$B$1,Salidas_REM!$C:$C,"Realizada")</f>
        <v>0</v>
      </c>
    </row>
    <row r="224" customFormat="false" ht="15" hidden="false" customHeight="false" outlineLevel="0" collapsed="false">
      <c r="A224" s="5" t="s">
        <v>89</v>
      </c>
      <c r="B224" s="5" t="s">
        <v>105</v>
      </c>
      <c r="C224" s="5" t="s">
        <v>383</v>
      </c>
      <c r="D224" s="5" t="s">
        <v>384</v>
      </c>
      <c r="E224" s="5" t="s">
        <v>385</v>
      </c>
      <c r="F224" s="10" t="n">
        <f aca="false">SUMIFS(Salidas_REM!$I:$I,Salidas_REM!$D:$D,A224,Salidas_REM!$F:$F,C224,Salidas_REM!$B:$B,$B$1,Salidas_REM!$C:$C,"Realizada")</f>
        <v>0</v>
      </c>
    </row>
    <row r="225" customFormat="false" ht="15" hidden="false" customHeight="false" outlineLevel="0" collapsed="false">
      <c r="A225" s="5" t="s">
        <v>89</v>
      </c>
      <c r="B225" s="5" t="s">
        <v>105</v>
      </c>
      <c r="C225" s="5" t="s">
        <v>386</v>
      </c>
      <c r="D225" s="5" t="s">
        <v>384</v>
      </c>
      <c r="E225" s="5" t="s">
        <v>387</v>
      </c>
      <c r="F225" s="10" t="n">
        <f aca="false">SUMIFS(Salidas_REM!$I:$I,Salidas_REM!$D:$D,A225,Salidas_REM!$F:$F,C225,Salidas_REM!$B:$B,$B$1,Salidas_REM!$C:$C,"Realizada")</f>
        <v>0</v>
      </c>
    </row>
    <row r="226" customFormat="false" ht="15" hidden="false" customHeight="false" outlineLevel="0" collapsed="false">
      <c r="A226" s="5" t="s">
        <v>89</v>
      </c>
      <c r="B226" s="5" t="s">
        <v>105</v>
      </c>
      <c r="C226" s="5" t="s">
        <v>388</v>
      </c>
      <c r="D226" s="5" t="s">
        <v>384</v>
      </c>
      <c r="E226" s="5" t="s">
        <v>389</v>
      </c>
      <c r="F226" s="10" t="n">
        <f aca="false">SUMIFS(Salidas_REM!$I:$I,Salidas_REM!$D:$D,A226,Salidas_REM!$F:$F,C226,Salidas_REM!$B:$B,$B$1,Salidas_REM!$C:$C,"Realizada")</f>
        <v>0</v>
      </c>
    </row>
    <row r="227" customFormat="false" ht="15" hidden="false" customHeight="false" outlineLevel="0" collapsed="false">
      <c r="A227" s="5" t="s">
        <v>89</v>
      </c>
      <c r="B227" s="5" t="s">
        <v>105</v>
      </c>
      <c r="C227" s="5" t="s">
        <v>390</v>
      </c>
      <c r="D227" s="5" t="s">
        <v>384</v>
      </c>
      <c r="E227" s="5" t="s">
        <v>108</v>
      </c>
      <c r="F227" s="10" t="n">
        <f aca="false">SUMIFS(Salidas_REM!$I:$I,Salidas_REM!$D:$D,A227,Salidas_REM!$F:$F,C227,Salidas_REM!$B:$B,$B$1,Salidas_REM!$C:$C,"Realizada")</f>
        <v>0</v>
      </c>
    </row>
    <row r="228" customFormat="false" ht="15" hidden="false" customHeight="false" outlineLevel="0" collapsed="false">
      <c r="A228" s="5" t="s">
        <v>89</v>
      </c>
      <c r="B228" s="5" t="s">
        <v>105</v>
      </c>
      <c r="C228" s="5" t="s">
        <v>391</v>
      </c>
      <c r="D228" s="5" t="s">
        <v>384</v>
      </c>
      <c r="E228" s="5" t="s">
        <v>392</v>
      </c>
      <c r="F228" s="10" t="n">
        <f aca="false">SUMIFS(Salidas_REM!$I:$I,Salidas_REM!$D:$D,A228,Salidas_REM!$F:$F,C228,Salidas_REM!$B:$B,$B$1,Salidas_REM!$C:$C,"Realizada")</f>
        <v>0</v>
      </c>
    </row>
    <row r="229" customFormat="false" ht="15" hidden="false" customHeight="false" outlineLevel="0" collapsed="false">
      <c r="A229" s="5" t="s">
        <v>89</v>
      </c>
      <c r="B229" s="5" t="s">
        <v>105</v>
      </c>
      <c r="C229" s="5" t="s">
        <v>393</v>
      </c>
      <c r="D229" s="5" t="s">
        <v>384</v>
      </c>
      <c r="E229" s="5" t="s">
        <v>394</v>
      </c>
      <c r="F229" s="10" t="n">
        <f aca="false">SUMIFS(Salidas_REM!$I:$I,Salidas_REM!$D:$D,A229,Salidas_REM!$F:$F,C229,Salidas_REM!$B:$B,$B$1,Salidas_REM!$C:$C,"Realizada")</f>
        <v>0</v>
      </c>
    </row>
    <row r="230" customFormat="false" ht="15" hidden="false" customHeight="false" outlineLevel="0" collapsed="false">
      <c r="A230" s="5" t="s">
        <v>89</v>
      </c>
      <c r="B230" s="5" t="s">
        <v>105</v>
      </c>
      <c r="C230" s="5" t="s">
        <v>395</v>
      </c>
      <c r="D230" s="5" t="s">
        <v>396</v>
      </c>
      <c r="E230" s="5" t="s">
        <v>385</v>
      </c>
      <c r="F230" s="10" t="n">
        <f aca="false">SUMIFS(Salidas_REM!$I:$I,Salidas_REM!$D:$D,A230,Salidas_REM!$F:$F,C230,Salidas_REM!$B:$B,$B$1,Salidas_REM!$C:$C,"Realizada")</f>
        <v>0</v>
      </c>
    </row>
    <row r="231" customFormat="false" ht="15" hidden="false" customHeight="false" outlineLevel="0" collapsed="false">
      <c r="A231" s="5" t="s">
        <v>89</v>
      </c>
      <c r="B231" s="5" t="s">
        <v>105</v>
      </c>
      <c r="C231" s="5" t="s">
        <v>397</v>
      </c>
      <c r="D231" s="5" t="s">
        <v>396</v>
      </c>
      <c r="E231" s="5" t="s">
        <v>387</v>
      </c>
      <c r="F231" s="10" t="n">
        <f aca="false">SUMIFS(Salidas_REM!$I:$I,Salidas_REM!$D:$D,A231,Salidas_REM!$F:$F,C231,Salidas_REM!$B:$B,$B$1,Salidas_REM!$C:$C,"Realizada")</f>
        <v>0</v>
      </c>
    </row>
    <row r="232" customFormat="false" ht="15" hidden="false" customHeight="false" outlineLevel="0" collapsed="false">
      <c r="A232" s="5" t="s">
        <v>89</v>
      </c>
      <c r="B232" s="5" t="s">
        <v>105</v>
      </c>
      <c r="C232" s="5" t="s">
        <v>398</v>
      </c>
      <c r="D232" s="5" t="s">
        <v>396</v>
      </c>
      <c r="E232" s="5" t="s">
        <v>389</v>
      </c>
      <c r="F232" s="10" t="n">
        <f aca="false">SUMIFS(Salidas_REM!$I:$I,Salidas_REM!$D:$D,A232,Salidas_REM!$F:$F,C232,Salidas_REM!$B:$B,$B$1,Salidas_REM!$C:$C,"Realizada")</f>
        <v>0</v>
      </c>
    </row>
    <row r="233" customFormat="false" ht="15" hidden="false" customHeight="false" outlineLevel="0" collapsed="false">
      <c r="A233" s="5" t="s">
        <v>89</v>
      </c>
      <c r="B233" s="5" t="s">
        <v>105</v>
      </c>
      <c r="C233" s="5" t="s">
        <v>399</v>
      </c>
      <c r="D233" s="5" t="s">
        <v>396</v>
      </c>
      <c r="E233" s="5" t="s">
        <v>108</v>
      </c>
      <c r="F233" s="10" t="n">
        <f aca="false">SUMIFS(Salidas_REM!$I:$I,Salidas_REM!$D:$D,A233,Salidas_REM!$F:$F,C233,Salidas_REM!$B:$B,$B$1,Salidas_REM!$C:$C,"Realizada")</f>
        <v>0</v>
      </c>
    </row>
    <row r="234" customFormat="false" ht="15" hidden="false" customHeight="false" outlineLevel="0" collapsed="false">
      <c r="A234" s="5" t="s">
        <v>89</v>
      </c>
      <c r="B234" s="5" t="s">
        <v>105</v>
      </c>
      <c r="C234" s="5" t="s">
        <v>400</v>
      </c>
      <c r="D234" s="5" t="s">
        <v>396</v>
      </c>
      <c r="E234" s="5" t="s">
        <v>392</v>
      </c>
      <c r="F234" s="10" t="n">
        <f aca="false">SUMIFS(Salidas_REM!$I:$I,Salidas_REM!$D:$D,A234,Salidas_REM!$F:$F,C234,Salidas_REM!$B:$B,$B$1,Salidas_REM!$C:$C,"Realizada")</f>
        <v>0</v>
      </c>
    </row>
    <row r="235" customFormat="false" ht="15" hidden="false" customHeight="false" outlineLevel="0" collapsed="false">
      <c r="A235" s="5" t="s">
        <v>89</v>
      </c>
      <c r="B235" s="5" t="s">
        <v>105</v>
      </c>
      <c r="C235" s="5" t="s">
        <v>401</v>
      </c>
      <c r="D235" s="5" t="s">
        <v>396</v>
      </c>
      <c r="E235" s="5" t="s">
        <v>394</v>
      </c>
      <c r="F235" s="10" t="n">
        <f aca="false">SUMIFS(Salidas_REM!$I:$I,Salidas_REM!$D:$D,A235,Salidas_REM!$F:$F,C235,Salidas_REM!$B:$B,$B$1,Salidas_REM!$C:$C,"Realizada")</f>
        <v>0</v>
      </c>
    </row>
    <row r="236" customFormat="false" ht="15" hidden="false" customHeight="false" outlineLevel="0" collapsed="false">
      <c r="A236" s="5" t="s">
        <v>89</v>
      </c>
      <c r="B236" s="5" t="s">
        <v>105</v>
      </c>
      <c r="C236" s="5" t="s">
        <v>402</v>
      </c>
      <c r="D236" s="5" t="s">
        <v>403</v>
      </c>
      <c r="E236" s="5" t="s">
        <v>385</v>
      </c>
      <c r="F236" s="10" t="n">
        <f aca="false">SUMIFS(Salidas_REM!$I:$I,Salidas_REM!$D:$D,A236,Salidas_REM!$F:$F,C236,Salidas_REM!$B:$B,$B$1,Salidas_REM!$C:$C,"Realizada")</f>
        <v>0</v>
      </c>
    </row>
    <row r="237" customFormat="false" ht="15" hidden="false" customHeight="false" outlineLevel="0" collapsed="false">
      <c r="A237" s="5" t="s">
        <v>89</v>
      </c>
      <c r="B237" s="5" t="s">
        <v>105</v>
      </c>
      <c r="C237" s="5" t="s">
        <v>404</v>
      </c>
      <c r="D237" s="5" t="s">
        <v>403</v>
      </c>
      <c r="E237" s="5" t="s">
        <v>387</v>
      </c>
      <c r="F237" s="10" t="n">
        <f aca="false">SUMIFS(Salidas_REM!$I:$I,Salidas_REM!$D:$D,A237,Salidas_REM!$F:$F,C237,Salidas_REM!$B:$B,$B$1,Salidas_REM!$C:$C,"Realizada")</f>
        <v>0</v>
      </c>
    </row>
    <row r="238" customFormat="false" ht="15" hidden="false" customHeight="false" outlineLevel="0" collapsed="false">
      <c r="A238" s="5" t="s">
        <v>89</v>
      </c>
      <c r="B238" s="5" t="s">
        <v>105</v>
      </c>
      <c r="C238" s="5" t="s">
        <v>405</v>
      </c>
      <c r="D238" s="5" t="s">
        <v>403</v>
      </c>
      <c r="E238" s="5" t="s">
        <v>389</v>
      </c>
      <c r="F238" s="10" t="n">
        <f aca="false">SUMIFS(Salidas_REM!$I:$I,Salidas_REM!$D:$D,A238,Salidas_REM!$F:$F,C238,Salidas_REM!$B:$B,$B$1,Salidas_REM!$C:$C,"Realizada")</f>
        <v>0</v>
      </c>
    </row>
    <row r="239" customFormat="false" ht="15" hidden="false" customHeight="false" outlineLevel="0" collapsed="false">
      <c r="A239" s="5" t="s">
        <v>89</v>
      </c>
      <c r="B239" s="5" t="s">
        <v>105</v>
      </c>
      <c r="C239" s="5" t="s">
        <v>406</v>
      </c>
      <c r="D239" s="5" t="s">
        <v>403</v>
      </c>
      <c r="E239" s="5" t="s">
        <v>108</v>
      </c>
      <c r="F239" s="10" t="n">
        <f aca="false">SUMIFS(Salidas_REM!$I:$I,Salidas_REM!$D:$D,A239,Salidas_REM!$F:$F,C239,Salidas_REM!$B:$B,$B$1,Salidas_REM!$C:$C,"Realizada")</f>
        <v>0</v>
      </c>
    </row>
    <row r="240" customFormat="false" ht="15" hidden="false" customHeight="false" outlineLevel="0" collapsed="false">
      <c r="A240" s="5" t="s">
        <v>89</v>
      </c>
      <c r="B240" s="5" t="s">
        <v>105</v>
      </c>
      <c r="C240" s="5" t="s">
        <v>407</v>
      </c>
      <c r="D240" s="5" t="s">
        <v>403</v>
      </c>
      <c r="E240" s="5" t="s">
        <v>392</v>
      </c>
      <c r="F240" s="10" t="n">
        <f aca="false">SUMIFS(Salidas_REM!$I:$I,Salidas_REM!$D:$D,A240,Salidas_REM!$F:$F,C240,Salidas_REM!$B:$B,$B$1,Salidas_REM!$C:$C,"Realizada")</f>
        <v>0</v>
      </c>
    </row>
    <row r="241" customFormat="false" ht="15" hidden="false" customHeight="false" outlineLevel="0" collapsed="false">
      <c r="A241" s="5" t="s">
        <v>89</v>
      </c>
      <c r="B241" s="5" t="s">
        <v>105</v>
      </c>
      <c r="C241" s="5" t="s">
        <v>408</v>
      </c>
      <c r="D241" s="5" t="s">
        <v>403</v>
      </c>
      <c r="E241" s="5" t="s">
        <v>394</v>
      </c>
      <c r="F241" s="10" t="n">
        <f aca="false">SUMIFS(Salidas_REM!$I:$I,Salidas_REM!$D:$D,A241,Salidas_REM!$F:$F,C241,Salidas_REM!$B:$B,$B$1,Salidas_REM!$C:$C,"Realizada")</f>
        <v>0</v>
      </c>
    </row>
    <row r="242" customFormat="false" ht="15" hidden="false" customHeight="false" outlineLevel="0" collapsed="false">
      <c r="A242" s="5" t="s">
        <v>89</v>
      </c>
      <c r="B242" s="5" t="s">
        <v>105</v>
      </c>
      <c r="C242" s="5" t="s">
        <v>409</v>
      </c>
      <c r="D242" s="5" t="s">
        <v>107</v>
      </c>
      <c r="E242" s="5" t="s">
        <v>385</v>
      </c>
      <c r="F242" s="10" t="n">
        <f aca="false">SUMIFS(Salidas_REM!$I:$I,Salidas_REM!$D:$D,A242,Salidas_REM!$F:$F,C242,Salidas_REM!$B:$B,$B$1,Salidas_REM!$C:$C,"Realizada")</f>
        <v>0</v>
      </c>
    </row>
    <row r="243" customFormat="false" ht="15" hidden="false" customHeight="false" outlineLevel="0" collapsed="false">
      <c r="A243" s="5" t="s">
        <v>89</v>
      </c>
      <c r="B243" s="5" t="s">
        <v>105</v>
      </c>
      <c r="C243" s="5" t="s">
        <v>410</v>
      </c>
      <c r="D243" s="5" t="s">
        <v>107</v>
      </c>
      <c r="E243" s="5" t="s">
        <v>387</v>
      </c>
      <c r="F243" s="10" t="n">
        <f aca="false">SUMIFS(Salidas_REM!$I:$I,Salidas_REM!$D:$D,A243,Salidas_REM!$F:$F,C243,Salidas_REM!$B:$B,$B$1,Salidas_REM!$C:$C,"Realizada")</f>
        <v>0</v>
      </c>
    </row>
    <row r="244" customFormat="false" ht="15" hidden="false" customHeight="false" outlineLevel="0" collapsed="false">
      <c r="A244" s="5" t="s">
        <v>89</v>
      </c>
      <c r="B244" s="5" t="s">
        <v>105</v>
      </c>
      <c r="C244" s="5" t="s">
        <v>411</v>
      </c>
      <c r="D244" s="5" t="s">
        <v>107</v>
      </c>
      <c r="E244" s="5" t="s">
        <v>389</v>
      </c>
      <c r="F244" s="10" t="n">
        <f aca="false">SUMIFS(Salidas_REM!$I:$I,Salidas_REM!$D:$D,A244,Salidas_REM!$F:$F,C244,Salidas_REM!$B:$B,$B$1,Salidas_REM!$C:$C,"Realizada")</f>
        <v>0</v>
      </c>
    </row>
    <row r="245" customFormat="false" ht="15" hidden="false" customHeight="false" outlineLevel="0" collapsed="false">
      <c r="A245" s="5" t="s">
        <v>89</v>
      </c>
      <c r="B245" s="5" t="s">
        <v>105</v>
      </c>
      <c r="C245" s="5" t="s">
        <v>106</v>
      </c>
      <c r="D245" s="5" t="s">
        <v>107</v>
      </c>
      <c r="E245" s="5" t="s">
        <v>108</v>
      </c>
      <c r="F245" s="10" t="n">
        <f aca="false">SUMIFS(Salidas_REM!$I:$I,Salidas_REM!$D:$D,A245,Salidas_REM!$F:$F,C245,Salidas_REM!$B:$B,$B$1,Salidas_REM!$C:$C,"Realizada")</f>
        <v>1</v>
      </c>
    </row>
    <row r="246" customFormat="false" ht="15" hidden="false" customHeight="false" outlineLevel="0" collapsed="false">
      <c r="A246" s="5" t="s">
        <v>89</v>
      </c>
      <c r="B246" s="5" t="s">
        <v>105</v>
      </c>
      <c r="C246" s="5" t="s">
        <v>412</v>
      </c>
      <c r="D246" s="5" t="s">
        <v>107</v>
      </c>
      <c r="E246" s="5" t="s">
        <v>392</v>
      </c>
      <c r="F246" s="10" t="n">
        <f aca="false">SUMIFS(Salidas_REM!$I:$I,Salidas_REM!$D:$D,A246,Salidas_REM!$F:$F,C246,Salidas_REM!$B:$B,$B$1,Salidas_REM!$C:$C,"Realizada")</f>
        <v>0</v>
      </c>
    </row>
    <row r="247" customFormat="false" ht="15" hidden="false" customHeight="false" outlineLevel="0" collapsed="false">
      <c r="A247" s="5" t="s">
        <v>89</v>
      </c>
      <c r="B247" s="5" t="s">
        <v>105</v>
      </c>
      <c r="C247" s="5" t="s">
        <v>413</v>
      </c>
      <c r="D247" s="5" t="s">
        <v>107</v>
      </c>
      <c r="E247" s="5" t="s">
        <v>394</v>
      </c>
      <c r="F247" s="10" t="n">
        <f aca="false">SUMIFS(Salidas_REM!$I:$I,Salidas_REM!$D:$D,A247,Salidas_REM!$F:$F,C247,Salidas_REM!$B:$B,$B$1,Salidas_REM!$C:$C,"Realizada")</f>
        <v>0</v>
      </c>
    </row>
    <row r="248" customFormat="false" ht="15" hidden="false" customHeight="false" outlineLevel="0" collapsed="false">
      <c r="A248" s="5" t="s">
        <v>89</v>
      </c>
      <c r="B248" s="5" t="s">
        <v>105</v>
      </c>
      <c r="C248" s="5" t="s">
        <v>414</v>
      </c>
      <c r="D248" s="5" t="s">
        <v>415</v>
      </c>
      <c r="E248" s="5" t="s">
        <v>385</v>
      </c>
      <c r="F248" s="10" t="n">
        <f aca="false">SUMIFS(Salidas_REM!$I:$I,Salidas_REM!$D:$D,A248,Salidas_REM!$F:$F,C248,Salidas_REM!$B:$B,$B$1,Salidas_REM!$C:$C,"Realizada")</f>
        <v>0</v>
      </c>
    </row>
    <row r="249" customFormat="false" ht="15" hidden="false" customHeight="false" outlineLevel="0" collapsed="false">
      <c r="A249" s="5" t="s">
        <v>89</v>
      </c>
      <c r="B249" s="5" t="s">
        <v>105</v>
      </c>
      <c r="C249" s="5" t="s">
        <v>416</v>
      </c>
      <c r="D249" s="5" t="s">
        <v>415</v>
      </c>
      <c r="E249" s="5" t="s">
        <v>387</v>
      </c>
      <c r="F249" s="10" t="n">
        <f aca="false">SUMIFS(Salidas_REM!$I:$I,Salidas_REM!$D:$D,A249,Salidas_REM!$F:$F,C249,Salidas_REM!$B:$B,$B$1,Salidas_REM!$C:$C,"Realizada")</f>
        <v>0</v>
      </c>
    </row>
    <row r="250" customFormat="false" ht="15" hidden="false" customHeight="false" outlineLevel="0" collapsed="false">
      <c r="A250" s="5" t="s">
        <v>89</v>
      </c>
      <c r="B250" s="5" t="s">
        <v>105</v>
      </c>
      <c r="C250" s="5" t="s">
        <v>417</v>
      </c>
      <c r="D250" s="5" t="s">
        <v>415</v>
      </c>
      <c r="E250" s="5" t="s">
        <v>389</v>
      </c>
      <c r="F250" s="10" t="n">
        <f aca="false">SUMIFS(Salidas_REM!$I:$I,Salidas_REM!$D:$D,A250,Salidas_REM!$F:$F,C250,Salidas_REM!$B:$B,$B$1,Salidas_REM!$C:$C,"Realizada")</f>
        <v>0</v>
      </c>
    </row>
    <row r="251" customFormat="false" ht="15" hidden="false" customHeight="false" outlineLevel="0" collapsed="false">
      <c r="A251" s="5" t="s">
        <v>89</v>
      </c>
      <c r="B251" s="5" t="s">
        <v>105</v>
      </c>
      <c r="C251" s="5" t="s">
        <v>418</v>
      </c>
      <c r="D251" s="5" t="s">
        <v>415</v>
      </c>
      <c r="E251" s="5" t="s">
        <v>108</v>
      </c>
      <c r="F251" s="10" t="n">
        <f aca="false">SUMIFS(Salidas_REM!$I:$I,Salidas_REM!$D:$D,A251,Salidas_REM!$F:$F,C251,Salidas_REM!$B:$B,$B$1,Salidas_REM!$C:$C,"Realizada")</f>
        <v>0</v>
      </c>
    </row>
    <row r="252" customFormat="false" ht="15" hidden="false" customHeight="false" outlineLevel="0" collapsed="false">
      <c r="A252" s="5" t="s">
        <v>89</v>
      </c>
      <c r="B252" s="5" t="s">
        <v>105</v>
      </c>
      <c r="C252" s="5" t="s">
        <v>419</v>
      </c>
      <c r="D252" s="5" t="s">
        <v>415</v>
      </c>
      <c r="E252" s="5" t="s">
        <v>392</v>
      </c>
      <c r="F252" s="10" t="n">
        <f aca="false">SUMIFS(Salidas_REM!$I:$I,Salidas_REM!$D:$D,A252,Salidas_REM!$F:$F,C252,Salidas_REM!$B:$B,$B$1,Salidas_REM!$C:$C,"Realizada")</f>
        <v>0</v>
      </c>
    </row>
    <row r="253" customFormat="false" ht="15" hidden="false" customHeight="false" outlineLevel="0" collapsed="false">
      <c r="A253" s="5" t="s">
        <v>89</v>
      </c>
      <c r="B253" s="5" t="s">
        <v>105</v>
      </c>
      <c r="C253" s="5" t="s">
        <v>420</v>
      </c>
      <c r="D253" s="5" t="s">
        <v>415</v>
      </c>
      <c r="E253" s="5" t="s">
        <v>394</v>
      </c>
      <c r="F253" s="10" t="n">
        <f aca="false">SUMIFS(Salidas_REM!$I:$I,Salidas_REM!$D:$D,A253,Salidas_REM!$F:$F,C253,Salidas_REM!$B:$B,$B$1,Salidas_REM!$C:$C,"Realizada")</f>
        <v>0</v>
      </c>
    </row>
    <row r="254" customFormat="false" ht="15" hidden="false" customHeight="false" outlineLevel="0" collapsed="false">
      <c r="A254" s="5" t="s">
        <v>89</v>
      </c>
      <c r="B254" s="5" t="s">
        <v>135</v>
      </c>
      <c r="C254" s="5" t="s">
        <v>421</v>
      </c>
      <c r="D254" s="5" t="s">
        <v>384</v>
      </c>
      <c r="E254" s="5" t="s">
        <v>422</v>
      </c>
      <c r="F254" s="10" t="n">
        <f aca="false">SUMIFS(Salidas_REM!$I:$I,Salidas_REM!$D:$D,A254,Salidas_REM!$F:$F,C254,Salidas_REM!$B:$B,$B$1,Salidas_REM!$C:$C,"Realizada")</f>
        <v>0</v>
      </c>
    </row>
    <row r="255" customFormat="false" ht="15" hidden="false" customHeight="false" outlineLevel="0" collapsed="false">
      <c r="A255" s="5" t="s">
        <v>89</v>
      </c>
      <c r="B255" s="5" t="s">
        <v>135</v>
      </c>
      <c r="C255" s="5" t="s">
        <v>423</v>
      </c>
      <c r="D255" s="5" t="s">
        <v>384</v>
      </c>
      <c r="E255" s="5" t="s">
        <v>424</v>
      </c>
      <c r="F255" s="10" t="n">
        <f aca="false">SUMIFS(Salidas_REM!$I:$I,Salidas_REM!$D:$D,A255,Salidas_REM!$F:$F,C255,Salidas_REM!$B:$B,$B$1,Salidas_REM!$C:$C,"Realizada")</f>
        <v>0</v>
      </c>
    </row>
    <row r="256" customFormat="false" ht="15" hidden="false" customHeight="false" outlineLevel="0" collapsed="false">
      <c r="A256" s="5" t="s">
        <v>89</v>
      </c>
      <c r="B256" s="5" t="s">
        <v>135</v>
      </c>
      <c r="C256" s="5" t="s">
        <v>425</v>
      </c>
      <c r="D256" s="5" t="s">
        <v>384</v>
      </c>
      <c r="E256" s="5" t="s">
        <v>426</v>
      </c>
      <c r="F256" s="10" t="n">
        <f aca="false">SUMIFS(Salidas_REM!$I:$I,Salidas_REM!$D:$D,A256,Salidas_REM!$F:$F,C256,Salidas_REM!$B:$B,$B$1,Salidas_REM!$C:$C,"Realizada")</f>
        <v>0</v>
      </c>
    </row>
    <row r="257" customFormat="false" ht="15" hidden="false" customHeight="false" outlineLevel="0" collapsed="false">
      <c r="A257" s="5" t="s">
        <v>89</v>
      </c>
      <c r="B257" s="5" t="s">
        <v>135</v>
      </c>
      <c r="C257" s="5" t="s">
        <v>427</v>
      </c>
      <c r="D257" s="5" t="s">
        <v>384</v>
      </c>
      <c r="E257" s="5" t="s">
        <v>138</v>
      </c>
      <c r="F257" s="10" t="n">
        <f aca="false">SUMIFS(Salidas_REM!$I:$I,Salidas_REM!$D:$D,A257,Salidas_REM!$F:$F,C257,Salidas_REM!$B:$B,$B$1,Salidas_REM!$C:$C,"Realizada")</f>
        <v>0</v>
      </c>
    </row>
    <row r="258" customFormat="false" ht="15" hidden="false" customHeight="false" outlineLevel="0" collapsed="false">
      <c r="A258" s="5" t="s">
        <v>89</v>
      </c>
      <c r="B258" s="5" t="s">
        <v>135</v>
      </c>
      <c r="C258" s="5" t="s">
        <v>428</v>
      </c>
      <c r="D258" s="5" t="s">
        <v>384</v>
      </c>
      <c r="E258" s="5" t="s">
        <v>429</v>
      </c>
      <c r="F258" s="10" t="n">
        <f aca="false">SUMIFS(Salidas_REM!$I:$I,Salidas_REM!$D:$D,A258,Salidas_REM!$F:$F,C258,Salidas_REM!$B:$B,$B$1,Salidas_REM!$C:$C,"Realizada")</f>
        <v>0</v>
      </c>
    </row>
    <row r="259" customFormat="false" ht="15" hidden="false" customHeight="false" outlineLevel="0" collapsed="false">
      <c r="A259" s="5" t="s">
        <v>89</v>
      </c>
      <c r="B259" s="5" t="s">
        <v>135</v>
      </c>
      <c r="C259" s="5" t="s">
        <v>430</v>
      </c>
      <c r="D259" s="5" t="s">
        <v>384</v>
      </c>
      <c r="E259" s="5" t="s">
        <v>431</v>
      </c>
      <c r="F259" s="10" t="n">
        <f aca="false">SUMIFS(Salidas_REM!$I:$I,Salidas_REM!$D:$D,A259,Salidas_REM!$F:$F,C259,Salidas_REM!$B:$B,$B$1,Salidas_REM!$C:$C,"Realizada")</f>
        <v>0</v>
      </c>
    </row>
    <row r="260" customFormat="false" ht="15" hidden="false" customHeight="false" outlineLevel="0" collapsed="false">
      <c r="A260" s="5" t="s">
        <v>89</v>
      </c>
      <c r="B260" s="5" t="s">
        <v>135</v>
      </c>
      <c r="C260" s="5" t="s">
        <v>432</v>
      </c>
      <c r="D260" s="5" t="s">
        <v>396</v>
      </c>
      <c r="E260" s="5" t="s">
        <v>422</v>
      </c>
      <c r="F260" s="10" t="n">
        <f aca="false">SUMIFS(Salidas_REM!$I:$I,Salidas_REM!$D:$D,A260,Salidas_REM!$F:$F,C260,Salidas_REM!$B:$B,$B$1,Salidas_REM!$C:$C,"Realizada")</f>
        <v>0</v>
      </c>
    </row>
    <row r="261" customFormat="false" ht="15" hidden="false" customHeight="false" outlineLevel="0" collapsed="false">
      <c r="A261" s="5" t="s">
        <v>89</v>
      </c>
      <c r="B261" s="5" t="s">
        <v>135</v>
      </c>
      <c r="C261" s="5" t="s">
        <v>433</v>
      </c>
      <c r="D261" s="5" t="s">
        <v>396</v>
      </c>
      <c r="E261" s="5" t="s">
        <v>424</v>
      </c>
      <c r="F261" s="10" t="n">
        <f aca="false">SUMIFS(Salidas_REM!$I:$I,Salidas_REM!$D:$D,A261,Salidas_REM!$F:$F,C261,Salidas_REM!$B:$B,$B$1,Salidas_REM!$C:$C,"Realizada")</f>
        <v>0</v>
      </c>
    </row>
    <row r="262" customFormat="false" ht="15" hidden="false" customHeight="false" outlineLevel="0" collapsed="false">
      <c r="A262" s="5" t="s">
        <v>89</v>
      </c>
      <c r="B262" s="5" t="s">
        <v>135</v>
      </c>
      <c r="C262" s="5" t="s">
        <v>434</v>
      </c>
      <c r="D262" s="5" t="s">
        <v>396</v>
      </c>
      <c r="E262" s="5" t="s">
        <v>426</v>
      </c>
      <c r="F262" s="10" t="n">
        <f aca="false">SUMIFS(Salidas_REM!$I:$I,Salidas_REM!$D:$D,A262,Salidas_REM!$F:$F,C262,Salidas_REM!$B:$B,$B$1,Salidas_REM!$C:$C,"Realizada")</f>
        <v>0</v>
      </c>
    </row>
    <row r="263" customFormat="false" ht="15" hidden="false" customHeight="false" outlineLevel="0" collapsed="false">
      <c r="A263" s="5" t="s">
        <v>89</v>
      </c>
      <c r="B263" s="5" t="s">
        <v>135</v>
      </c>
      <c r="C263" s="5" t="s">
        <v>435</v>
      </c>
      <c r="D263" s="5" t="s">
        <v>396</v>
      </c>
      <c r="E263" s="5" t="s">
        <v>138</v>
      </c>
      <c r="F263" s="10" t="n">
        <f aca="false">SUMIFS(Salidas_REM!$I:$I,Salidas_REM!$D:$D,A263,Salidas_REM!$F:$F,C263,Salidas_REM!$B:$B,$B$1,Salidas_REM!$C:$C,"Realizada")</f>
        <v>0</v>
      </c>
    </row>
    <row r="264" customFormat="false" ht="15" hidden="false" customHeight="false" outlineLevel="0" collapsed="false">
      <c r="A264" s="5" t="s">
        <v>89</v>
      </c>
      <c r="B264" s="5" t="s">
        <v>135</v>
      </c>
      <c r="C264" s="5" t="s">
        <v>436</v>
      </c>
      <c r="D264" s="5" t="s">
        <v>396</v>
      </c>
      <c r="E264" s="5" t="s">
        <v>429</v>
      </c>
      <c r="F264" s="10" t="n">
        <f aca="false">SUMIFS(Salidas_REM!$I:$I,Salidas_REM!$D:$D,A264,Salidas_REM!$F:$F,C264,Salidas_REM!$B:$B,$B$1,Salidas_REM!$C:$C,"Realizada")</f>
        <v>0</v>
      </c>
    </row>
    <row r="265" customFormat="false" ht="15" hidden="false" customHeight="false" outlineLevel="0" collapsed="false">
      <c r="A265" s="5" t="s">
        <v>89</v>
      </c>
      <c r="B265" s="5" t="s">
        <v>135</v>
      </c>
      <c r="C265" s="5" t="s">
        <v>437</v>
      </c>
      <c r="D265" s="5" t="s">
        <v>396</v>
      </c>
      <c r="E265" s="5" t="s">
        <v>431</v>
      </c>
      <c r="F265" s="10" t="n">
        <f aca="false">SUMIFS(Salidas_REM!$I:$I,Salidas_REM!$D:$D,A265,Salidas_REM!$F:$F,C265,Salidas_REM!$B:$B,$B$1,Salidas_REM!$C:$C,"Realizada")</f>
        <v>0</v>
      </c>
    </row>
    <row r="266" customFormat="false" ht="15" hidden="false" customHeight="false" outlineLevel="0" collapsed="false">
      <c r="A266" s="5" t="s">
        <v>89</v>
      </c>
      <c r="B266" s="5" t="s">
        <v>135</v>
      </c>
      <c r="C266" s="5" t="s">
        <v>438</v>
      </c>
      <c r="D266" s="5" t="s">
        <v>403</v>
      </c>
      <c r="E266" s="5" t="s">
        <v>422</v>
      </c>
      <c r="F266" s="10" t="n">
        <f aca="false">SUMIFS(Salidas_REM!$I:$I,Salidas_REM!$D:$D,A266,Salidas_REM!$F:$F,C266,Salidas_REM!$B:$B,$B$1,Salidas_REM!$C:$C,"Realizada")</f>
        <v>0</v>
      </c>
    </row>
    <row r="267" customFormat="false" ht="15" hidden="false" customHeight="false" outlineLevel="0" collapsed="false">
      <c r="A267" s="5" t="s">
        <v>89</v>
      </c>
      <c r="B267" s="5" t="s">
        <v>135</v>
      </c>
      <c r="C267" s="5" t="s">
        <v>439</v>
      </c>
      <c r="D267" s="5" t="s">
        <v>403</v>
      </c>
      <c r="E267" s="5" t="s">
        <v>424</v>
      </c>
      <c r="F267" s="10" t="n">
        <f aca="false">SUMIFS(Salidas_REM!$I:$I,Salidas_REM!$D:$D,A267,Salidas_REM!$F:$F,C267,Salidas_REM!$B:$B,$B$1,Salidas_REM!$C:$C,"Realizada")</f>
        <v>0</v>
      </c>
    </row>
    <row r="268" customFormat="false" ht="15" hidden="false" customHeight="false" outlineLevel="0" collapsed="false">
      <c r="A268" s="5" t="s">
        <v>89</v>
      </c>
      <c r="B268" s="5" t="s">
        <v>135</v>
      </c>
      <c r="C268" s="5" t="s">
        <v>440</v>
      </c>
      <c r="D268" s="5" t="s">
        <v>403</v>
      </c>
      <c r="E268" s="5" t="s">
        <v>426</v>
      </c>
      <c r="F268" s="10" t="n">
        <f aca="false">SUMIFS(Salidas_REM!$I:$I,Salidas_REM!$D:$D,A268,Salidas_REM!$F:$F,C268,Salidas_REM!$B:$B,$B$1,Salidas_REM!$C:$C,"Realizada")</f>
        <v>0</v>
      </c>
    </row>
    <row r="269" customFormat="false" ht="15" hidden="false" customHeight="false" outlineLevel="0" collapsed="false">
      <c r="A269" s="5" t="s">
        <v>89</v>
      </c>
      <c r="B269" s="5" t="s">
        <v>135</v>
      </c>
      <c r="C269" s="5" t="s">
        <v>441</v>
      </c>
      <c r="D269" s="5" t="s">
        <v>403</v>
      </c>
      <c r="E269" s="5" t="s">
        <v>138</v>
      </c>
      <c r="F269" s="10" t="n">
        <f aca="false">SUMIFS(Salidas_REM!$I:$I,Salidas_REM!$D:$D,A269,Salidas_REM!$F:$F,C269,Salidas_REM!$B:$B,$B$1,Salidas_REM!$C:$C,"Realizada")</f>
        <v>0</v>
      </c>
    </row>
    <row r="270" customFormat="false" ht="15" hidden="false" customHeight="false" outlineLevel="0" collapsed="false">
      <c r="A270" s="5" t="s">
        <v>89</v>
      </c>
      <c r="B270" s="5" t="s">
        <v>135</v>
      </c>
      <c r="C270" s="5" t="s">
        <v>442</v>
      </c>
      <c r="D270" s="5" t="s">
        <v>403</v>
      </c>
      <c r="E270" s="5" t="s">
        <v>429</v>
      </c>
      <c r="F270" s="10" t="n">
        <f aca="false">SUMIFS(Salidas_REM!$I:$I,Salidas_REM!$D:$D,A270,Salidas_REM!$F:$F,C270,Salidas_REM!$B:$B,$B$1,Salidas_REM!$C:$C,"Realizada")</f>
        <v>0</v>
      </c>
    </row>
    <row r="271" customFormat="false" ht="15" hidden="false" customHeight="false" outlineLevel="0" collapsed="false">
      <c r="A271" s="5" t="s">
        <v>89</v>
      </c>
      <c r="B271" s="5" t="s">
        <v>135</v>
      </c>
      <c r="C271" s="5" t="s">
        <v>443</v>
      </c>
      <c r="D271" s="5" t="s">
        <v>403</v>
      </c>
      <c r="E271" s="5" t="s">
        <v>431</v>
      </c>
      <c r="F271" s="10" t="n">
        <f aca="false">SUMIFS(Salidas_REM!$I:$I,Salidas_REM!$D:$D,A271,Salidas_REM!$F:$F,C271,Salidas_REM!$B:$B,$B$1,Salidas_REM!$C:$C,"Realizada")</f>
        <v>0</v>
      </c>
    </row>
    <row r="272" customFormat="false" ht="15" hidden="false" customHeight="false" outlineLevel="0" collapsed="false">
      <c r="A272" s="5" t="s">
        <v>89</v>
      </c>
      <c r="B272" s="5" t="s">
        <v>135</v>
      </c>
      <c r="C272" s="5" t="s">
        <v>444</v>
      </c>
      <c r="D272" s="5" t="s">
        <v>445</v>
      </c>
      <c r="E272" s="5" t="s">
        <v>422</v>
      </c>
      <c r="F272" s="10" t="n">
        <f aca="false">SUMIFS(Salidas_REM!$I:$I,Salidas_REM!$D:$D,A272,Salidas_REM!$F:$F,C272,Salidas_REM!$B:$B,$B$1,Salidas_REM!$C:$C,"Realizada")</f>
        <v>0</v>
      </c>
    </row>
    <row r="273" customFormat="false" ht="15" hidden="false" customHeight="false" outlineLevel="0" collapsed="false">
      <c r="A273" s="5" t="s">
        <v>89</v>
      </c>
      <c r="B273" s="5" t="s">
        <v>135</v>
      </c>
      <c r="C273" s="5" t="s">
        <v>446</v>
      </c>
      <c r="D273" s="5" t="s">
        <v>445</v>
      </c>
      <c r="E273" s="5" t="s">
        <v>424</v>
      </c>
      <c r="F273" s="10" t="n">
        <f aca="false">SUMIFS(Salidas_REM!$I:$I,Salidas_REM!$D:$D,A273,Salidas_REM!$F:$F,C273,Salidas_REM!$B:$B,$B$1,Salidas_REM!$C:$C,"Realizada")</f>
        <v>0</v>
      </c>
    </row>
    <row r="274" customFormat="false" ht="15" hidden="false" customHeight="false" outlineLevel="0" collapsed="false">
      <c r="A274" s="5" t="s">
        <v>89</v>
      </c>
      <c r="B274" s="5" t="s">
        <v>135</v>
      </c>
      <c r="C274" s="5" t="s">
        <v>447</v>
      </c>
      <c r="D274" s="5" t="s">
        <v>445</v>
      </c>
      <c r="E274" s="5" t="s">
        <v>426</v>
      </c>
      <c r="F274" s="10" t="n">
        <f aca="false">SUMIFS(Salidas_REM!$I:$I,Salidas_REM!$D:$D,A274,Salidas_REM!$F:$F,C274,Salidas_REM!$B:$B,$B$1,Salidas_REM!$C:$C,"Realizada")</f>
        <v>0</v>
      </c>
    </row>
    <row r="275" customFormat="false" ht="15" hidden="false" customHeight="false" outlineLevel="0" collapsed="false">
      <c r="A275" s="5" t="s">
        <v>89</v>
      </c>
      <c r="B275" s="5" t="s">
        <v>135</v>
      </c>
      <c r="C275" s="5" t="s">
        <v>448</v>
      </c>
      <c r="D275" s="5" t="s">
        <v>445</v>
      </c>
      <c r="E275" s="5" t="s">
        <v>138</v>
      </c>
      <c r="F275" s="10" t="n">
        <f aca="false">SUMIFS(Salidas_REM!$I:$I,Salidas_REM!$D:$D,A275,Salidas_REM!$F:$F,C275,Salidas_REM!$B:$B,$B$1,Salidas_REM!$C:$C,"Realizada")</f>
        <v>0</v>
      </c>
    </row>
    <row r="276" customFormat="false" ht="15" hidden="false" customHeight="false" outlineLevel="0" collapsed="false">
      <c r="A276" s="5" t="s">
        <v>89</v>
      </c>
      <c r="B276" s="5" t="s">
        <v>135</v>
      </c>
      <c r="C276" s="5" t="s">
        <v>449</v>
      </c>
      <c r="D276" s="5" t="s">
        <v>445</v>
      </c>
      <c r="E276" s="5" t="s">
        <v>429</v>
      </c>
      <c r="F276" s="10" t="n">
        <f aca="false">SUMIFS(Salidas_REM!$I:$I,Salidas_REM!$D:$D,A276,Salidas_REM!$F:$F,C276,Salidas_REM!$B:$B,$B$1,Salidas_REM!$C:$C,"Realizada")</f>
        <v>0</v>
      </c>
    </row>
    <row r="277" customFormat="false" ht="15" hidden="false" customHeight="false" outlineLevel="0" collapsed="false">
      <c r="A277" s="5" t="s">
        <v>89</v>
      </c>
      <c r="B277" s="5" t="s">
        <v>135</v>
      </c>
      <c r="C277" s="5" t="s">
        <v>450</v>
      </c>
      <c r="D277" s="5" t="s">
        <v>445</v>
      </c>
      <c r="E277" s="5" t="s">
        <v>431</v>
      </c>
      <c r="F277" s="10" t="n">
        <f aca="false">SUMIFS(Salidas_REM!$I:$I,Salidas_REM!$D:$D,A277,Salidas_REM!$F:$F,C277,Salidas_REM!$B:$B,$B$1,Salidas_REM!$C:$C,"Realizada")</f>
        <v>0</v>
      </c>
    </row>
    <row r="278" customFormat="false" ht="15" hidden="false" customHeight="false" outlineLevel="0" collapsed="false">
      <c r="A278" s="5" t="s">
        <v>89</v>
      </c>
      <c r="B278" s="5" t="s">
        <v>135</v>
      </c>
      <c r="C278" s="5" t="s">
        <v>451</v>
      </c>
      <c r="D278" s="5" t="s">
        <v>415</v>
      </c>
      <c r="E278" s="5" t="s">
        <v>422</v>
      </c>
      <c r="F278" s="10" t="n">
        <f aca="false">SUMIFS(Salidas_REM!$I:$I,Salidas_REM!$D:$D,A278,Salidas_REM!$F:$F,C278,Salidas_REM!$B:$B,$B$1,Salidas_REM!$C:$C,"Realizada")</f>
        <v>0</v>
      </c>
    </row>
    <row r="279" customFormat="false" ht="15" hidden="false" customHeight="false" outlineLevel="0" collapsed="false">
      <c r="A279" s="5" t="s">
        <v>89</v>
      </c>
      <c r="B279" s="5" t="s">
        <v>135</v>
      </c>
      <c r="C279" s="5" t="s">
        <v>452</v>
      </c>
      <c r="D279" s="5" t="s">
        <v>415</v>
      </c>
      <c r="E279" s="5" t="s">
        <v>424</v>
      </c>
      <c r="F279" s="10" t="n">
        <f aca="false">SUMIFS(Salidas_REM!$I:$I,Salidas_REM!$D:$D,A279,Salidas_REM!$F:$F,C279,Salidas_REM!$B:$B,$B$1,Salidas_REM!$C:$C,"Realizada")</f>
        <v>0</v>
      </c>
    </row>
    <row r="280" customFormat="false" ht="15" hidden="false" customHeight="false" outlineLevel="0" collapsed="false">
      <c r="A280" s="5" t="s">
        <v>89</v>
      </c>
      <c r="B280" s="5" t="s">
        <v>135</v>
      </c>
      <c r="C280" s="5" t="s">
        <v>453</v>
      </c>
      <c r="D280" s="5" t="s">
        <v>415</v>
      </c>
      <c r="E280" s="5" t="s">
        <v>426</v>
      </c>
      <c r="F280" s="10" t="n">
        <f aca="false">SUMIFS(Salidas_REM!$I:$I,Salidas_REM!$D:$D,A280,Salidas_REM!$F:$F,C280,Salidas_REM!$B:$B,$B$1,Salidas_REM!$C:$C,"Realizada")</f>
        <v>0</v>
      </c>
    </row>
    <row r="281" customFormat="false" ht="15" hidden="false" customHeight="false" outlineLevel="0" collapsed="false">
      <c r="A281" s="5" t="s">
        <v>89</v>
      </c>
      <c r="B281" s="5" t="s">
        <v>135</v>
      </c>
      <c r="C281" s="5" t="s">
        <v>454</v>
      </c>
      <c r="D281" s="5" t="s">
        <v>415</v>
      </c>
      <c r="E281" s="5" t="s">
        <v>138</v>
      </c>
      <c r="F281" s="10" t="n">
        <f aca="false">SUMIFS(Salidas_REM!$I:$I,Salidas_REM!$D:$D,A281,Salidas_REM!$F:$F,C281,Salidas_REM!$B:$B,$B$1,Salidas_REM!$C:$C,"Realizada")</f>
        <v>0</v>
      </c>
    </row>
    <row r="282" customFormat="false" ht="15" hidden="false" customHeight="false" outlineLevel="0" collapsed="false">
      <c r="A282" s="5" t="s">
        <v>89</v>
      </c>
      <c r="B282" s="5" t="s">
        <v>135</v>
      </c>
      <c r="C282" s="5" t="s">
        <v>455</v>
      </c>
      <c r="D282" s="5" t="s">
        <v>415</v>
      </c>
      <c r="E282" s="5" t="s">
        <v>429</v>
      </c>
      <c r="F282" s="10" t="n">
        <f aca="false">SUMIFS(Salidas_REM!$I:$I,Salidas_REM!$D:$D,A282,Salidas_REM!$F:$F,C282,Salidas_REM!$B:$B,$B$1,Salidas_REM!$C:$C,"Realizada")</f>
        <v>0</v>
      </c>
    </row>
    <row r="283" customFormat="false" ht="15" hidden="false" customHeight="false" outlineLevel="0" collapsed="false">
      <c r="A283" s="5" t="s">
        <v>89</v>
      </c>
      <c r="B283" s="5" t="s">
        <v>135</v>
      </c>
      <c r="C283" s="5" t="s">
        <v>456</v>
      </c>
      <c r="D283" s="5" t="s">
        <v>415</v>
      </c>
      <c r="E283" s="5" t="s">
        <v>431</v>
      </c>
      <c r="F283" s="10" t="n">
        <f aca="false">SUMIFS(Salidas_REM!$I:$I,Salidas_REM!$D:$D,A283,Salidas_REM!$F:$F,C283,Salidas_REM!$B:$B,$B$1,Salidas_REM!$C:$C,"Realizada")</f>
        <v>0</v>
      </c>
    </row>
    <row r="284" customFormat="false" ht="15" hidden="false" customHeight="false" outlineLevel="0" collapsed="false">
      <c r="A284" s="5" t="s">
        <v>89</v>
      </c>
      <c r="B284" s="5" t="s">
        <v>135</v>
      </c>
      <c r="C284" s="5" t="s">
        <v>457</v>
      </c>
      <c r="D284" s="5" t="s">
        <v>458</v>
      </c>
      <c r="E284" s="5" t="s">
        <v>422</v>
      </c>
      <c r="F284" s="10" t="n">
        <f aca="false">SUMIFS(Salidas_REM!$I:$I,Salidas_REM!$D:$D,A284,Salidas_REM!$F:$F,C284,Salidas_REM!$B:$B,$B$1,Salidas_REM!$C:$C,"Realizada")</f>
        <v>0</v>
      </c>
    </row>
    <row r="285" customFormat="false" ht="15" hidden="false" customHeight="false" outlineLevel="0" collapsed="false">
      <c r="A285" s="5" t="s">
        <v>89</v>
      </c>
      <c r="B285" s="5" t="s">
        <v>135</v>
      </c>
      <c r="C285" s="5" t="s">
        <v>459</v>
      </c>
      <c r="D285" s="5" t="s">
        <v>458</v>
      </c>
      <c r="E285" s="5" t="s">
        <v>424</v>
      </c>
      <c r="F285" s="10" t="n">
        <f aca="false">SUMIFS(Salidas_REM!$I:$I,Salidas_REM!$D:$D,A285,Salidas_REM!$F:$F,C285,Salidas_REM!$B:$B,$B$1,Salidas_REM!$C:$C,"Realizada")</f>
        <v>0</v>
      </c>
    </row>
    <row r="286" customFormat="false" ht="15" hidden="false" customHeight="false" outlineLevel="0" collapsed="false">
      <c r="A286" s="5" t="s">
        <v>89</v>
      </c>
      <c r="B286" s="5" t="s">
        <v>135</v>
      </c>
      <c r="C286" s="5" t="s">
        <v>460</v>
      </c>
      <c r="D286" s="5" t="s">
        <v>458</v>
      </c>
      <c r="E286" s="5" t="s">
        <v>426</v>
      </c>
      <c r="F286" s="10" t="n">
        <f aca="false">SUMIFS(Salidas_REM!$I:$I,Salidas_REM!$D:$D,A286,Salidas_REM!$F:$F,C286,Salidas_REM!$B:$B,$B$1,Salidas_REM!$C:$C,"Realizada")</f>
        <v>0</v>
      </c>
    </row>
    <row r="287" customFormat="false" ht="15" hidden="false" customHeight="false" outlineLevel="0" collapsed="false">
      <c r="A287" s="5" t="s">
        <v>89</v>
      </c>
      <c r="B287" s="5" t="s">
        <v>135</v>
      </c>
      <c r="C287" s="5" t="s">
        <v>461</v>
      </c>
      <c r="D287" s="5" t="s">
        <v>458</v>
      </c>
      <c r="E287" s="5" t="s">
        <v>138</v>
      </c>
      <c r="F287" s="10" t="n">
        <f aca="false">SUMIFS(Salidas_REM!$I:$I,Salidas_REM!$D:$D,A287,Salidas_REM!$F:$F,C287,Salidas_REM!$B:$B,$B$1,Salidas_REM!$C:$C,"Realizada")</f>
        <v>0</v>
      </c>
    </row>
    <row r="288" customFormat="false" ht="15" hidden="false" customHeight="false" outlineLevel="0" collapsed="false">
      <c r="A288" s="5" t="s">
        <v>89</v>
      </c>
      <c r="B288" s="5" t="s">
        <v>135</v>
      </c>
      <c r="C288" s="5" t="s">
        <v>462</v>
      </c>
      <c r="D288" s="5" t="s">
        <v>458</v>
      </c>
      <c r="E288" s="5" t="s">
        <v>429</v>
      </c>
      <c r="F288" s="10" t="n">
        <f aca="false">SUMIFS(Salidas_REM!$I:$I,Salidas_REM!$D:$D,A288,Salidas_REM!$F:$F,C288,Salidas_REM!$B:$B,$B$1,Salidas_REM!$C:$C,"Realizada")</f>
        <v>0</v>
      </c>
    </row>
    <row r="289" customFormat="false" ht="15" hidden="false" customHeight="false" outlineLevel="0" collapsed="false">
      <c r="A289" s="5" t="s">
        <v>89</v>
      </c>
      <c r="B289" s="5" t="s">
        <v>135</v>
      </c>
      <c r="C289" s="5" t="s">
        <v>463</v>
      </c>
      <c r="D289" s="5" t="s">
        <v>458</v>
      </c>
      <c r="E289" s="5" t="s">
        <v>431</v>
      </c>
      <c r="F289" s="10" t="n">
        <f aca="false">SUMIFS(Salidas_REM!$I:$I,Salidas_REM!$D:$D,A289,Salidas_REM!$F:$F,C289,Salidas_REM!$B:$B,$B$1,Salidas_REM!$C:$C,"Realizada")</f>
        <v>0</v>
      </c>
    </row>
    <row r="290" customFormat="false" ht="15" hidden="false" customHeight="false" outlineLevel="0" collapsed="false">
      <c r="A290" s="5" t="s">
        <v>89</v>
      </c>
      <c r="B290" s="5" t="s">
        <v>135</v>
      </c>
      <c r="C290" s="5" t="s">
        <v>464</v>
      </c>
      <c r="D290" s="5" t="s">
        <v>137</v>
      </c>
      <c r="E290" s="5" t="s">
        <v>422</v>
      </c>
      <c r="F290" s="10" t="n">
        <f aca="false">SUMIFS(Salidas_REM!$I:$I,Salidas_REM!$D:$D,A290,Salidas_REM!$F:$F,C290,Salidas_REM!$B:$B,$B$1,Salidas_REM!$C:$C,"Realizada")</f>
        <v>0</v>
      </c>
    </row>
    <row r="291" customFormat="false" ht="15" hidden="false" customHeight="false" outlineLevel="0" collapsed="false">
      <c r="A291" s="5" t="s">
        <v>89</v>
      </c>
      <c r="B291" s="5" t="s">
        <v>135</v>
      </c>
      <c r="C291" s="5" t="s">
        <v>465</v>
      </c>
      <c r="D291" s="5" t="s">
        <v>137</v>
      </c>
      <c r="E291" s="5" t="s">
        <v>424</v>
      </c>
      <c r="F291" s="10" t="n">
        <f aca="false">SUMIFS(Salidas_REM!$I:$I,Salidas_REM!$D:$D,A291,Salidas_REM!$F:$F,C291,Salidas_REM!$B:$B,$B$1,Salidas_REM!$C:$C,"Realizada")</f>
        <v>0</v>
      </c>
    </row>
    <row r="292" customFormat="false" ht="15" hidden="false" customHeight="false" outlineLevel="0" collapsed="false">
      <c r="A292" s="5" t="s">
        <v>89</v>
      </c>
      <c r="B292" s="5" t="s">
        <v>135</v>
      </c>
      <c r="C292" s="5" t="s">
        <v>466</v>
      </c>
      <c r="D292" s="5" t="s">
        <v>137</v>
      </c>
      <c r="E292" s="5" t="s">
        <v>426</v>
      </c>
      <c r="F292" s="10" t="n">
        <f aca="false">SUMIFS(Salidas_REM!$I:$I,Salidas_REM!$D:$D,A292,Salidas_REM!$F:$F,C292,Salidas_REM!$B:$B,$B$1,Salidas_REM!$C:$C,"Realizada")</f>
        <v>0</v>
      </c>
    </row>
    <row r="293" customFormat="false" ht="15" hidden="false" customHeight="false" outlineLevel="0" collapsed="false">
      <c r="A293" s="5" t="s">
        <v>89</v>
      </c>
      <c r="B293" s="5" t="s">
        <v>135</v>
      </c>
      <c r="C293" s="5" t="s">
        <v>136</v>
      </c>
      <c r="D293" s="5" t="s">
        <v>137</v>
      </c>
      <c r="E293" s="5" t="s">
        <v>138</v>
      </c>
      <c r="F293" s="10" t="n">
        <f aca="false">SUMIFS(Salidas_REM!$I:$I,Salidas_REM!$D:$D,A293,Salidas_REM!$F:$F,C293,Salidas_REM!$B:$B,$B$1,Salidas_REM!$C:$C,"Realizada")</f>
        <v>1</v>
      </c>
    </row>
    <row r="294" customFormat="false" ht="15" hidden="false" customHeight="false" outlineLevel="0" collapsed="false">
      <c r="A294" s="5" t="s">
        <v>89</v>
      </c>
      <c r="B294" s="5" t="s">
        <v>135</v>
      </c>
      <c r="C294" s="5" t="s">
        <v>467</v>
      </c>
      <c r="D294" s="5" t="s">
        <v>137</v>
      </c>
      <c r="E294" s="5" t="s">
        <v>429</v>
      </c>
      <c r="F294" s="10" t="n">
        <f aca="false">SUMIFS(Salidas_REM!$I:$I,Salidas_REM!$D:$D,A294,Salidas_REM!$F:$F,C294,Salidas_REM!$B:$B,$B$1,Salidas_REM!$C:$C,"Realizada")</f>
        <v>0</v>
      </c>
    </row>
    <row r="295" customFormat="false" ht="15" hidden="false" customHeight="false" outlineLevel="0" collapsed="false">
      <c r="A295" s="5" t="s">
        <v>89</v>
      </c>
      <c r="B295" s="5" t="s">
        <v>135</v>
      </c>
      <c r="C295" s="5" t="s">
        <v>468</v>
      </c>
      <c r="D295" s="5" t="s">
        <v>137</v>
      </c>
      <c r="E295" s="5" t="s">
        <v>431</v>
      </c>
      <c r="F295" s="10" t="n">
        <f aca="false">SUMIFS(Salidas_REM!$I:$I,Salidas_REM!$D:$D,A295,Salidas_REM!$F:$F,C295,Salidas_REM!$B:$B,$B$1,Salidas_REM!$C:$C,"Realizada")</f>
        <v>0</v>
      </c>
    </row>
    <row r="296" customFormat="false" ht="15" hidden="false" customHeight="false" outlineLevel="0" collapsed="false">
      <c r="A296" s="5" t="s">
        <v>89</v>
      </c>
      <c r="B296" s="5" t="s">
        <v>469</v>
      </c>
      <c r="C296" s="5" t="s">
        <v>470</v>
      </c>
      <c r="D296" s="5" t="s">
        <v>471</v>
      </c>
      <c r="E296" s="5" t="s">
        <v>93</v>
      </c>
      <c r="F296" s="10" t="n">
        <f aca="false">SUMIFS(Salidas_REM!$I:$I,Salidas_REM!$D:$D,A296,Salidas_REM!$F:$F,C296,Salidas_REM!$B:$B,$B$1,Salidas_REM!$C:$C,"Realizada")</f>
        <v>0</v>
      </c>
    </row>
    <row r="297" customFormat="false" ht="15" hidden="false" customHeight="false" outlineLevel="0" collapsed="false">
      <c r="A297" s="5" t="s">
        <v>89</v>
      </c>
      <c r="B297" s="5" t="s">
        <v>469</v>
      </c>
      <c r="C297" s="5" t="s">
        <v>472</v>
      </c>
      <c r="D297" s="5" t="s">
        <v>471</v>
      </c>
      <c r="E297" s="5" t="s">
        <v>98</v>
      </c>
      <c r="F297" s="10" t="n">
        <f aca="false">SUMIFS(Salidas_REM!$I:$I,Salidas_REM!$D:$D,A297,Salidas_REM!$F:$F,C297,Salidas_REM!$B:$B,$B$1,Salidas_REM!$C:$C,"Realizada")</f>
        <v>0</v>
      </c>
    </row>
    <row r="298" customFormat="false" ht="15" hidden="false" customHeight="false" outlineLevel="0" collapsed="false">
      <c r="A298" s="5" t="s">
        <v>89</v>
      </c>
      <c r="B298" s="5" t="s">
        <v>469</v>
      </c>
      <c r="C298" s="5" t="s">
        <v>473</v>
      </c>
      <c r="D298" s="5" t="s">
        <v>471</v>
      </c>
      <c r="E298" s="5" t="s">
        <v>474</v>
      </c>
      <c r="F298" s="10" t="n">
        <f aca="false">SUMIFS(Salidas_REM!$I:$I,Salidas_REM!$D:$D,A298,Salidas_REM!$F:$F,C298,Salidas_REM!$B:$B,$B$1,Salidas_REM!$C:$C,"Realizada")</f>
        <v>0</v>
      </c>
    </row>
    <row r="299" customFormat="false" ht="15" hidden="false" customHeight="false" outlineLevel="0" collapsed="false">
      <c r="A299" s="5" t="s">
        <v>89</v>
      </c>
      <c r="B299" s="5" t="s">
        <v>469</v>
      </c>
      <c r="C299" s="5" t="s">
        <v>475</v>
      </c>
      <c r="D299" s="5" t="s">
        <v>471</v>
      </c>
      <c r="E299" s="5" t="s">
        <v>145</v>
      </c>
      <c r="F299" s="10" t="n">
        <f aca="false">SUMIFS(Salidas_REM!$I:$I,Salidas_REM!$D:$D,A299,Salidas_REM!$F:$F,C299,Salidas_REM!$B:$B,$B$1,Salidas_REM!$C:$C,"Realizada")</f>
        <v>0</v>
      </c>
    </row>
    <row r="300" customFormat="false" ht="15" hidden="false" customHeight="false" outlineLevel="0" collapsed="false">
      <c r="A300" s="5" t="s">
        <v>89</v>
      </c>
      <c r="B300" s="5" t="s">
        <v>469</v>
      </c>
      <c r="C300" s="5" t="s">
        <v>476</v>
      </c>
      <c r="D300" s="5" t="s">
        <v>471</v>
      </c>
      <c r="E300" s="5" t="s">
        <v>477</v>
      </c>
      <c r="F300" s="10" t="n">
        <f aca="false">SUMIFS(Salidas_REM!$I:$I,Salidas_REM!$D:$D,A300,Salidas_REM!$F:$F,C300,Salidas_REM!$B:$B,$B$1,Salidas_REM!$C:$C,"Realizada")</f>
        <v>0</v>
      </c>
    </row>
    <row r="301" customFormat="false" ht="15" hidden="false" customHeight="false" outlineLevel="0" collapsed="false">
      <c r="A301" s="5" t="s">
        <v>89</v>
      </c>
      <c r="B301" s="5" t="s">
        <v>469</v>
      </c>
      <c r="C301" s="5" t="s">
        <v>478</v>
      </c>
      <c r="D301" s="5" t="s">
        <v>471</v>
      </c>
      <c r="E301" s="5" t="s">
        <v>479</v>
      </c>
      <c r="F301" s="10" t="n">
        <f aca="false">SUMIFS(Salidas_REM!$I:$I,Salidas_REM!$D:$D,A301,Salidas_REM!$F:$F,C301,Salidas_REM!$B:$B,$B$1,Salidas_REM!$C:$C,"Realizada")</f>
        <v>0</v>
      </c>
    </row>
    <row r="302" customFormat="false" ht="15" hidden="false" customHeight="false" outlineLevel="0" collapsed="false">
      <c r="A302" s="5" t="s">
        <v>89</v>
      </c>
      <c r="B302" s="5" t="s">
        <v>469</v>
      </c>
      <c r="C302" s="5" t="s">
        <v>480</v>
      </c>
      <c r="D302" s="5" t="s">
        <v>471</v>
      </c>
      <c r="E302" s="5" t="s">
        <v>481</v>
      </c>
      <c r="F302" s="10" t="n">
        <f aca="false">SUMIFS(Salidas_REM!$I:$I,Salidas_REM!$D:$D,A302,Salidas_REM!$F:$F,C302,Salidas_REM!$B:$B,$B$1,Salidas_REM!$C:$C,"Realizada")</f>
        <v>0</v>
      </c>
    </row>
    <row r="303" customFormat="false" ht="15" hidden="false" customHeight="false" outlineLevel="0" collapsed="false">
      <c r="A303" s="5" t="s">
        <v>89</v>
      </c>
      <c r="B303" s="5" t="s">
        <v>469</v>
      </c>
      <c r="C303" s="5" t="s">
        <v>482</v>
      </c>
      <c r="D303" s="5" t="s">
        <v>471</v>
      </c>
      <c r="E303" s="5" t="s">
        <v>95</v>
      </c>
      <c r="F303" s="10" t="n">
        <f aca="false">SUMIFS(Salidas_REM!$I:$I,Salidas_REM!$D:$D,A303,Salidas_REM!$F:$F,C303,Salidas_REM!$B:$B,$B$1,Salidas_REM!$C:$C,"Realizada")</f>
        <v>0</v>
      </c>
    </row>
    <row r="304" customFormat="false" ht="15" hidden="false" customHeight="false" outlineLevel="0" collapsed="false">
      <c r="A304" s="5" t="s">
        <v>89</v>
      </c>
      <c r="B304" s="5" t="s">
        <v>469</v>
      </c>
      <c r="C304" s="5" t="s">
        <v>483</v>
      </c>
      <c r="D304" s="5" t="s">
        <v>445</v>
      </c>
      <c r="E304" s="5" t="s">
        <v>93</v>
      </c>
      <c r="F304" s="10" t="n">
        <f aca="false">SUMIFS(Salidas_REM!$I:$I,Salidas_REM!$D:$D,A304,Salidas_REM!$F:$F,C304,Salidas_REM!$B:$B,$B$1,Salidas_REM!$C:$C,"Realizada")</f>
        <v>0</v>
      </c>
    </row>
    <row r="305" customFormat="false" ht="15" hidden="false" customHeight="false" outlineLevel="0" collapsed="false">
      <c r="A305" s="5" t="s">
        <v>89</v>
      </c>
      <c r="B305" s="5" t="s">
        <v>469</v>
      </c>
      <c r="C305" s="5" t="s">
        <v>484</v>
      </c>
      <c r="D305" s="5" t="s">
        <v>445</v>
      </c>
      <c r="E305" s="5" t="s">
        <v>98</v>
      </c>
      <c r="F305" s="10" t="n">
        <f aca="false">SUMIFS(Salidas_REM!$I:$I,Salidas_REM!$D:$D,A305,Salidas_REM!$F:$F,C305,Salidas_REM!$B:$B,$B$1,Salidas_REM!$C:$C,"Realizada")</f>
        <v>0</v>
      </c>
    </row>
    <row r="306" customFormat="false" ht="15" hidden="false" customHeight="false" outlineLevel="0" collapsed="false">
      <c r="A306" s="5" t="s">
        <v>89</v>
      </c>
      <c r="B306" s="5" t="s">
        <v>469</v>
      </c>
      <c r="C306" s="5" t="s">
        <v>485</v>
      </c>
      <c r="D306" s="5" t="s">
        <v>445</v>
      </c>
      <c r="E306" s="5" t="s">
        <v>474</v>
      </c>
      <c r="F306" s="10" t="n">
        <f aca="false">SUMIFS(Salidas_REM!$I:$I,Salidas_REM!$D:$D,A306,Salidas_REM!$F:$F,C306,Salidas_REM!$B:$B,$B$1,Salidas_REM!$C:$C,"Realizada")</f>
        <v>0</v>
      </c>
    </row>
    <row r="307" customFormat="false" ht="15" hidden="false" customHeight="false" outlineLevel="0" collapsed="false">
      <c r="A307" s="5" t="s">
        <v>89</v>
      </c>
      <c r="B307" s="5" t="s">
        <v>469</v>
      </c>
      <c r="C307" s="5" t="s">
        <v>486</v>
      </c>
      <c r="D307" s="5" t="s">
        <v>445</v>
      </c>
      <c r="E307" s="5" t="s">
        <v>145</v>
      </c>
      <c r="F307" s="10" t="n">
        <f aca="false">SUMIFS(Salidas_REM!$I:$I,Salidas_REM!$D:$D,A307,Salidas_REM!$F:$F,C307,Salidas_REM!$B:$B,$B$1,Salidas_REM!$C:$C,"Realizada")</f>
        <v>0</v>
      </c>
    </row>
    <row r="308" customFormat="false" ht="15" hidden="false" customHeight="false" outlineLevel="0" collapsed="false">
      <c r="A308" s="5" t="s">
        <v>89</v>
      </c>
      <c r="B308" s="5" t="s">
        <v>469</v>
      </c>
      <c r="C308" s="5" t="s">
        <v>487</v>
      </c>
      <c r="D308" s="5" t="s">
        <v>445</v>
      </c>
      <c r="E308" s="5" t="s">
        <v>477</v>
      </c>
      <c r="F308" s="10" t="n">
        <f aca="false">SUMIFS(Salidas_REM!$I:$I,Salidas_REM!$D:$D,A308,Salidas_REM!$F:$F,C308,Salidas_REM!$B:$B,$B$1,Salidas_REM!$C:$C,"Realizada")</f>
        <v>0</v>
      </c>
    </row>
    <row r="309" customFormat="false" ht="15" hidden="false" customHeight="false" outlineLevel="0" collapsed="false">
      <c r="A309" s="5" t="s">
        <v>89</v>
      </c>
      <c r="B309" s="5" t="s">
        <v>469</v>
      </c>
      <c r="C309" s="5" t="s">
        <v>488</v>
      </c>
      <c r="D309" s="5" t="s">
        <v>445</v>
      </c>
      <c r="E309" s="5" t="s">
        <v>479</v>
      </c>
      <c r="F309" s="10" t="n">
        <f aca="false">SUMIFS(Salidas_REM!$I:$I,Salidas_REM!$D:$D,A309,Salidas_REM!$F:$F,C309,Salidas_REM!$B:$B,$B$1,Salidas_REM!$C:$C,"Realizada")</f>
        <v>0</v>
      </c>
    </row>
    <row r="310" customFormat="false" ht="15" hidden="false" customHeight="false" outlineLevel="0" collapsed="false">
      <c r="A310" s="5" t="s">
        <v>89</v>
      </c>
      <c r="B310" s="5" t="s">
        <v>469</v>
      </c>
      <c r="C310" s="5" t="s">
        <v>489</v>
      </c>
      <c r="D310" s="5" t="s">
        <v>445</v>
      </c>
      <c r="E310" s="5" t="s">
        <v>481</v>
      </c>
      <c r="F310" s="10" t="n">
        <f aca="false">SUMIFS(Salidas_REM!$I:$I,Salidas_REM!$D:$D,A310,Salidas_REM!$F:$F,C310,Salidas_REM!$B:$B,$B$1,Salidas_REM!$C:$C,"Realizada")</f>
        <v>0</v>
      </c>
    </row>
    <row r="311" customFormat="false" ht="15" hidden="false" customHeight="false" outlineLevel="0" collapsed="false">
      <c r="A311" s="5" t="s">
        <v>89</v>
      </c>
      <c r="B311" s="5" t="s">
        <v>469</v>
      </c>
      <c r="C311" s="5" t="s">
        <v>490</v>
      </c>
      <c r="D311" s="5" t="s">
        <v>445</v>
      </c>
      <c r="E311" s="5" t="s">
        <v>95</v>
      </c>
      <c r="F311" s="10" t="n">
        <f aca="false">SUMIFS(Salidas_REM!$I:$I,Salidas_REM!$D:$D,A311,Salidas_REM!$F:$F,C311,Salidas_REM!$B:$B,$B$1,Salidas_REM!$C:$C,"Realizada")</f>
        <v>0</v>
      </c>
    </row>
    <row r="312" customFormat="false" ht="15" hidden="false" customHeight="false" outlineLevel="0" collapsed="false">
      <c r="A312" s="5" t="s">
        <v>89</v>
      </c>
      <c r="B312" s="5" t="s">
        <v>469</v>
      </c>
      <c r="C312" s="5" t="s">
        <v>491</v>
      </c>
      <c r="D312" s="5" t="s">
        <v>492</v>
      </c>
      <c r="E312" s="5" t="s">
        <v>93</v>
      </c>
      <c r="F312" s="10" t="n">
        <f aca="false">SUMIFS(Salidas_REM!$I:$I,Salidas_REM!$D:$D,A312,Salidas_REM!$F:$F,C312,Salidas_REM!$B:$B,$B$1,Salidas_REM!$C:$C,"Realizada")</f>
        <v>0</v>
      </c>
    </row>
    <row r="313" customFormat="false" ht="15" hidden="false" customHeight="false" outlineLevel="0" collapsed="false">
      <c r="A313" s="5" t="s">
        <v>89</v>
      </c>
      <c r="B313" s="5" t="s">
        <v>469</v>
      </c>
      <c r="C313" s="5" t="s">
        <v>493</v>
      </c>
      <c r="D313" s="5" t="s">
        <v>492</v>
      </c>
      <c r="E313" s="5" t="s">
        <v>98</v>
      </c>
      <c r="F313" s="10" t="n">
        <f aca="false">SUMIFS(Salidas_REM!$I:$I,Salidas_REM!$D:$D,A313,Salidas_REM!$F:$F,C313,Salidas_REM!$B:$B,$B$1,Salidas_REM!$C:$C,"Realizada")</f>
        <v>0</v>
      </c>
    </row>
    <row r="314" customFormat="false" ht="15" hidden="false" customHeight="false" outlineLevel="0" collapsed="false">
      <c r="A314" s="5" t="s">
        <v>89</v>
      </c>
      <c r="B314" s="5" t="s">
        <v>469</v>
      </c>
      <c r="C314" s="5" t="s">
        <v>494</v>
      </c>
      <c r="D314" s="5" t="s">
        <v>492</v>
      </c>
      <c r="E314" s="5" t="s">
        <v>474</v>
      </c>
      <c r="F314" s="10" t="n">
        <f aca="false">SUMIFS(Salidas_REM!$I:$I,Salidas_REM!$D:$D,A314,Salidas_REM!$F:$F,C314,Salidas_REM!$B:$B,$B$1,Salidas_REM!$C:$C,"Realizada")</f>
        <v>0</v>
      </c>
    </row>
    <row r="315" customFormat="false" ht="15" hidden="false" customHeight="false" outlineLevel="0" collapsed="false">
      <c r="A315" s="5" t="s">
        <v>89</v>
      </c>
      <c r="B315" s="5" t="s">
        <v>469</v>
      </c>
      <c r="C315" s="5" t="s">
        <v>495</v>
      </c>
      <c r="D315" s="5" t="s">
        <v>492</v>
      </c>
      <c r="E315" s="5" t="s">
        <v>145</v>
      </c>
      <c r="F315" s="10" t="n">
        <f aca="false">SUMIFS(Salidas_REM!$I:$I,Salidas_REM!$D:$D,A315,Salidas_REM!$F:$F,C315,Salidas_REM!$B:$B,$B$1,Salidas_REM!$C:$C,"Realizada")</f>
        <v>0</v>
      </c>
    </row>
    <row r="316" customFormat="false" ht="15" hidden="false" customHeight="false" outlineLevel="0" collapsed="false">
      <c r="A316" s="5" t="s">
        <v>89</v>
      </c>
      <c r="B316" s="5" t="s">
        <v>469</v>
      </c>
      <c r="C316" s="5" t="s">
        <v>496</v>
      </c>
      <c r="D316" s="5" t="s">
        <v>492</v>
      </c>
      <c r="E316" s="5" t="s">
        <v>477</v>
      </c>
      <c r="F316" s="10" t="n">
        <f aca="false">SUMIFS(Salidas_REM!$I:$I,Salidas_REM!$D:$D,A316,Salidas_REM!$F:$F,C316,Salidas_REM!$B:$B,$B$1,Salidas_REM!$C:$C,"Realizada")</f>
        <v>0</v>
      </c>
    </row>
    <row r="317" customFormat="false" ht="15" hidden="false" customHeight="false" outlineLevel="0" collapsed="false">
      <c r="A317" s="5" t="s">
        <v>89</v>
      </c>
      <c r="B317" s="5" t="s">
        <v>469</v>
      </c>
      <c r="C317" s="5" t="s">
        <v>497</v>
      </c>
      <c r="D317" s="5" t="s">
        <v>492</v>
      </c>
      <c r="E317" s="5" t="s">
        <v>479</v>
      </c>
      <c r="F317" s="10" t="n">
        <f aca="false">SUMIFS(Salidas_REM!$I:$I,Salidas_REM!$D:$D,A317,Salidas_REM!$F:$F,C317,Salidas_REM!$B:$B,$B$1,Salidas_REM!$C:$C,"Realizada")</f>
        <v>0</v>
      </c>
    </row>
    <row r="318" customFormat="false" ht="15" hidden="false" customHeight="false" outlineLevel="0" collapsed="false">
      <c r="A318" s="5" t="s">
        <v>89</v>
      </c>
      <c r="B318" s="5" t="s">
        <v>469</v>
      </c>
      <c r="C318" s="5" t="s">
        <v>498</v>
      </c>
      <c r="D318" s="5" t="s">
        <v>492</v>
      </c>
      <c r="E318" s="5" t="s">
        <v>481</v>
      </c>
      <c r="F318" s="10" t="n">
        <f aca="false">SUMIFS(Salidas_REM!$I:$I,Salidas_REM!$D:$D,A318,Salidas_REM!$F:$F,C318,Salidas_REM!$B:$B,$B$1,Salidas_REM!$C:$C,"Realizada")</f>
        <v>0</v>
      </c>
    </row>
    <row r="319" customFormat="false" ht="15" hidden="false" customHeight="false" outlineLevel="0" collapsed="false">
      <c r="A319" s="5" t="s">
        <v>89</v>
      </c>
      <c r="B319" s="5" t="s">
        <v>469</v>
      </c>
      <c r="C319" s="5" t="s">
        <v>499</v>
      </c>
      <c r="D319" s="5" t="s">
        <v>492</v>
      </c>
      <c r="E319" s="5" t="s">
        <v>95</v>
      </c>
      <c r="F319" s="10" t="n">
        <f aca="false">SUMIFS(Salidas_REM!$I:$I,Salidas_REM!$D:$D,A319,Salidas_REM!$F:$F,C319,Salidas_REM!$B:$B,$B$1,Salidas_REM!$C:$C,"Realizada")</f>
        <v>0</v>
      </c>
    </row>
    <row r="320" customFormat="false" ht="15" hidden="false" customHeight="false" outlineLevel="0" collapsed="false">
      <c r="A320" s="5" t="s">
        <v>89</v>
      </c>
      <c r="B320" s="5" t="s">
        <v>469</v>
      </c>
      <c r="C320" s="5" t="s">
        <v>500</v>
      </c>
      <c r="D320" s="5" t="s">
        <v>415</v>
      </c>
      <c r="E320" s="5" t="s">
        <v>93</v>
      </c>
      <c r="F320" s="10" t="n">
        <f aca="false">SUMIFS(Salidas_REM!$I:$I,Salidas_REM!$D:$D,A320,Salidas_REM!$F:$F,C320,Salidas_REM!$B:$B,$B$1,Salidas_REM!$C:$C,"Realizada")</f>
        <v>0</v>
      </c>
    </row>
    <row r="321" customFormat="false" ht="15" hidden="false" customHeight="false" outlineLevel="0" collapsed="false">
      <c r="A321" s="5" t="s">
        <v>89</v>
      </c>
      <c r="B321" s="5" t="s">
        <v>469</v>
      </c>
      <c r="C321" s="5" t="s">
        <v>501</v>
      </c>
      <c r="D321" s="5" t="s">
        <v>415</v>
      </c>
      <c r="E321" s="5" t="s">
        <v>98</v>
      </c>
      <c r="F321" s="10" t="n">
        <f aca="false">SUMIFS(Salidas_REM!$I:$I,Salidas_REM!$D:$D,A321,Salidas_REM!$F:$F,C321,Salidas_REM!$B:$B,$B$1,Salidas_REM!$C:$C,"Realizada")</f>
        <v>0</v>
      </c>
    </row>
    <row r="322" customFormat="false" ht="15" hidden="false" customHeight="false" outlineLevel="0" collapsed="false">
      <c r="A322" s="5" t="s">
        <v>89</v>
      </c>
      <c r="B322" s="5" t="s">
        <v>469</v>
      </c>
      <c r="C322" s="5" t="s">
        <v>502</v>
      </c>
      <c r="D322" s="5" t="s">
        <v>415</v>
      </c>
      <c r="E322" s="5" t="s">
        <v>474</v>
      </c>
      <c r="F322" s="10" t="n">
        <f aca="false">SUMIFS(Salidas_REM!$I:$I,Salidas_REM!$D:$D,A322,Salidas_REM!$F:$F,C322,Salidas_REM!$B:$B,$B$1,Salidas_REM!$C:$C,"Realizada")</f>
        <v>0</v>
      </c>
    </row>
    <row r="323" customFormat="false" ht="15" hidden="false" customHeight="false" outlineLevel="0" collapsed="false">
      <c r="A323" s="5" t="s">
        <v>89</v>
      </c>
      <c r="B323" s="5" t="s">
        <v>469</v>
      </c>
      <c r="C323" s="5" t="s">
        <v>503</v>
      </c>
      <c r="D323" s="5" t="s">
        <v>415</v>
      </c>
      <c r="E323" s="5" t="s">
        <v>145</v>
      </c>
      <c r="F323" s="10" t="n">
        <f aca="false">SUMIFS(Salidas_REM!$I:$I,Salidas_REM!$D:$D,A323,Salidas_REM!$F:$F,C323,Salidas_REM!$B:$B,$B$1,Salidas_REM!$C:$C,"Realizada")</f>
        <v>0</v>
      </c>
    </row>
    <row r="324" customFormat="false" ht="15" hidden="false" customHeight="false" outlineLevel="0" collapsed="false">
      <c r="A324" s="5" t="s">
        <v>89</v>
      </c>
      <c r="B324" s="5" t="s">
        <v>469</v>
      </c>
      <c r="C324" s="5" t="s">
        <v>504</v>
      </c>
      <c r="D324" s="5" t="s">
        <v>415</v>
      </c>
      <c r="E324" s="5" t="s">
        <v>477</v>
      </c>
      <c r="F324" s="10" t="n">
        <f aca="false">SUMIFS(Salidas_REM!$I:$I,Salidas_REM!$D:$D,A324,Salidas_REM!$F:$F,C324,Salidas_REM!$B:$B,$B$1,Salidas_REM!$C:$C,"Realizada")</f>
        <v>0</v>
      </c>
    </row>
    <row r="325" customFormat="false" ht="15" hidden="false" customHeight="false" outlineLevel="0" collapsed="false">
      <c r="A325" s="5" t="s">
        <v>89</v>
      </c>
      <c r="B325" s="5" t="s">
        <v>469</v>
      </c>
      <c r="C325" s="5" t="s">
        <v>505</v>
      </c>
      <c r="D325" s="5" t="s">
        <v>415</v>
      </c>
      <c r="E325" s="5" t="s">
        <v>479</v>
      </c>
      <c r="F325" s="10" t="n">
        <f aca="false">SUMIFS(Salidas_REM!$I:$I,Salidas_REM!$D:$D,A325,Salidas_REM!$F:$F,C325,Salidas_REM!$B:$B,$B$1,Salidas_REM!$C:$C,"Realizada")</f>
        <v>0</v>
      </c>
    </row>
    <row r="326" customFormat="false" ht="15" hidden="false" customHeight="false" outlineLevel="0" collapsed="false">
      <c r="A326" s="5" t="s">
        <v>89</v>
      </c>
      <c r="B326" s="5" t="s">
        <v>469</v>
      </c>
      <c r="C326" s="5" t="s">
        <v>506</v>
      </c>
      <c r="D326" s="5" t="s">
        <v>415</v>
      </c>
      <c r="E326" s="5" t="s">
        <v>481</v>
      </c>
      <c r="F326" s="10" t="n">
        <f aca="false">SUMIFS(Salidas_REM!$I:$I,Salidas_REM!$D:$D,A326,Salidas_REM!$F:$F,C326,Salidas_REM!$B:$B,$B$1,Salidas_REM!$C:$C,"Realizada")</f>
        <v>0</v>
      </c>
    </row>
    <row r="327" customFormat="false" ht="15" hidden="false" customHeight="false" outlineLevel="0" collapsed="false">
      <c r="A327" s="5" t="s">
        <v>89</v>
      </c>
      <c r="B327" s="5" t="s">
        <v>469</v>
      </c>
      <c r="C327" s="5" t="s">
        <v>507</v>
      </c>
      <c r="D327" s="5" t="s">
        <v>415</v>
      </c>
      <c r="E327" s="5" t="s">
        <v>95</v>
      </c>
      <c r="F327" s="10" t="n">
        <f aca="false">SUMIFS(Salidas_REM!$I:$I,Salidas_REM!$D:$D,A327,Salidas_REM!$F:$F,C327,Salidas_REM!$B:$B,$B$1,Salidas_REM!$C:$C,"Realizada")</f>
        <v>0</v>
      </c>
    </row>
    <row r="328" customFormat="false" ht="15" hidden="false" customHeight="false" outlineLevel="0" collapsed="false">
      <c r="A328" s="5" t="s">
        <v>89</v>
      </c>
      <c r="B328" s="5" t="s">
        <v>508</v>
      </c>
      <c r="C328" s="5" t="s">
        <v>509</v>
      </c>
      <c r="D328" s="5" t="s">
        <v>510</v>
      </c>
      <c r="E328" s="5" t="s">
        <v>511</v>
      </c>
      <c r="F328" s="10" t="n">
        <f aca="false">SUMIFS(Salidas_REM!$I:$I,Salidas_REM!$D:$D,A328,Salidas_REM!$F:$F,C328,Salidas_REM!$B:$B,$B$1,Salidas_REM!$C:$C,"Realizada")</f>
        <v>0</v>
      </c>
    </row>
    <row r="329" customFormat="false" ht="15" hidden="false" customHeight="false" outlineLevel="0" collapsed="false">
      <c r="A329" s="5" t="s">
        <v>89</v>
      </c>
      <c r="B329" s="5" t="s">
        <v>508</v>
      </c>
      <c r="C329" s="5" t="s">
        <v>512</v>
      </c>
      <c r="D329" s="5" t="s">
        <v>510</v>
      </c>
      <c r="E329" s="5" t="s">
        <v>513</v>
      </c>
      <c r="F329" s="10" t="n">
        <f aca="false">SUMIFS(Salidas_REM!$I:$I,Salidas_REM!$D:$D,A329,Salidas_REM!$F:$F,C329,Salidas_REM!$B:$B,$B$1,Salidas_REM!$C:$C,"Realizada")</f>
        <v>0</v>
      </c>
    </row>
    <row r="330" customFormat="false" ht="15" hidden="false" customHeight="false" outlineLevel="0" collapsed="false">
      <c r="A330" s="5" t="s">
        <v>89</v>
      </c>
      <c r="B330" s="5" t="s">
        <v>508</v>
      </c>
      <c r="C330" s="5" t="s">
        <v>514</v>
      </c>
      <c r="D330" s="5" t="s">
        <v>515</v>
      </c>
      <c r="E330" s="5" t="s">
        <v>511</v>
      </c>
      <c r="F330" s="10" t="n">
        <f aca="false">SUMIFS(Salidas_REM!$I:$I,Salidas_REM!$D:$D,A330,Salidas_REM!$F:$F,C330,Salidas_REM!$B:$B,$B$1,Salidas_REM!$C:$C,"Realizada")</f>
        <v>0</v>
      </c>
    </row>
    <row r="331" customFormat="false" ht="15" hidden="false" customHeight="false" outlineLevel="0" collapsed="false">
      <c r="A331" s="5" t="s">
        <v>89</v>
      </c>
      <c r="B331" s="5" t="s">
        <v>508</v>
      </c>
      <c r="C331" s="5" t="s">
        <v>516</v>
      </c>
      <c r="D331" s="5" t="s">
        <v>515</v>
      </c>
      <c r="E331" s="5" t="s">
        <v>513</v>
      </c>
      <c r="F331" s="10" t="n">
        <f aca="false">SUMIFS(Salidas_REM!$I:$I,Salidas_REM!$D:$D,A331,Salidas_REM!$F:$F,C331,Salidas_REM!$B:$B,$B$1,Salidas_REM!$C:$C,"Realizada")</f>
        <v>0</v>
      </c>
    </row>
    <row r="332" customFormat="false" ht="15" hidden="false" customHeight="false" outlineLevel="0" collapsed="false">
      <c r="A332" s="5" t="s">
        <v>89</v>
      </c>
      <c r="B332" s="5" t="s">
        <v>508</v>
      </c>
      <c r="C332" s="5" t="s">
        <v>517</v>
      </c>
      <c r="D332" s="5" t="s">
        <v>518</v>
      </c>
      <c r="E332" s="5" t="s">
        <v>511</v>
      </c>
      <c r="F332" s="10" t="n">
        <f aca="false">SUMIFS(Salidas_REM!$I:$I,Salidas_REM!$D:$D,A332,Salidas_REM!$F:$F,C332,Salidas_REM!$B:$B,$B$1,Salidas_REM!$C:$C,"Realizada")</f>
        <v>0</v>
      </c>
    </row>
    <row r="333" customFormat="false" ht="15" hidden="false" customHeight="false" outlineLevel="0" collapsed="false">
      <c r="A333" s="5" t="s">
        <v>89</v>
      </c>
      <c r="B333" s="5" t="s">
        <v>508</v>
      </c>
      <c r="C333" s="5" t="s">
        <v>519</v>
      </c>
      <c r="D333" s="5" t="s">
        <v>518</v>
      </c>
      <c r="E333" s="5" t="s">
        <v>513</v>
      </c>
      <c r="F333" s="10" t="n">
        <f aca="false">SUMIFS(Salidas_REM!$I:$I,Salidas_REM!$D:$D,A333,Salidas_REM!$F:$F,C333,Salidas_REM!$B:$B,$B$1,Salidas_REM!$C:$C,"Realizada")</f>
        <v>0</v>
      </c>
    </row>
    <row r="334" customFormat="false" ht="15" hidden="false" customHeight="false" outlineLevel="0" collapsed="false">
      <c r="A334" s="5" t="s">
        <v>109</v>
      </c>
      <c r="B334" s="5" t="s">
        <v>90</v>
      </c>
      <c r="C334" s="5" t="s">
        <v>520</v>
      </c>
      <c r="D334" s="5" t="s">
        <v>521</v>
      </c>
      <c r="E334" s="5" t="s">
        <v>522</v>
      </c>
      <c r="F334" s="10" t="n">
        <f aca="false">SUMIFS(Salidas_REM!$I:$I,Salidas_REM!$D:$D,A334,Salidas_REM!$F:$F,C334,Salidas_REM!$B:$B,$B$1,Salidas_REM!$C:$C,"Realizada")</f>
        <v>0</v>
      </c>
    </row>
    <row r="335" customFormat="false" ht="15" hidden="false" customHeight="false" outlineLevel="0" collapsed="false">
      <c r="A335" s="5" t="s">
        <v>109</v>
      </c>
      <c r="B335" s="5" t="s">
        <v>90</v>
      </c>
      <c r="C335" s="5" t="s">
        <v>523</v>
      </c>
      <c r="D335" s="5" t="s">
        <v>521</v>
      </c>
      <c r="E335" s="5" t="s">
        <v>524</v>
      </c>
      <c r="F335" s="10" t="n">
        <f aca="false">SUMIFS(Salidas_REM!$I:$I,Salidas_REM!$D:$D,A335,Salidas_REM!$F:$F,C335,Salidas_REM!$B:$B,$B$1,Salidas_REM!$C:$C,"Realizada")</f>
        <v>0</v>
      </c>
    </row>
    <row r="336" customFormat="false" ht="15" hidden="false" customHeight="false" outlineLevel="0" collapsed="false">
      <c r="A336" s="5" t="s">
        <v>109</v>
      </c>
      <c r="B336" s="5" t="s">
        <v>90</v>
      </c>
      <c r="C336" s="5" t="s">
        <v>525</v>
      </c>
      <c r="D336" s="5" t="s">
        <v>521</v>
      </c>
      <c r="E336" s="5" t="s">
        <v>526</v>
      </c>
      <c r="F336" s="10" t="n">
        <f aca="false">SUMIFS(Salidas_REM!$I:$I,Salidas_REM!$D:$D,A336,Salidas_REM!$F:$F,C336,Salidas_REM!$B:$B,$B$1,Salidas_REM!$C:$C,"Realizada")</f>
        <v>0</v>
      </c>
    </row>
    <row r="337" customFormat="false" ht="15" hidden="false" customHeight="false" outlineLevel="0" collapsed="false">
      <c r="A337" s="5" t="s">
        <v>109</v>
      </c>
      <c r="B337" s="5" t="s">
        <v>90</v>
      </c>
      <c r="C337" s="5" t="s">
        <v>527</v>
      </c>
      <c r="D337" s="5" t="s">
        <v>521</v>
      </c>
      <c r="E337" s="5" t="s">
        <v>528</v>
      </c>
      <c r="F337" s="10" t="n">
        <f aca="false">SUMIFS(Salidas_REM!$I:$I,Salidas_REM!$D:$D,A337,Salidas_REM!$F:$F,C337,Salidas_REM!$B:$B,$B$1,Salidas_REM!$C:$C,"Realizada")</f>
        <v>0</v>
      </c>
    </row>
    <row r="338" customFormat="false" ht="15" hidden="false" customHeight="false" outlineLevel="0" collapsed="false">
      <c r="A338" s="5" t="s">
        <v>109</v>
      </c>
      <c r="B338" s="5" t="s">
        <v>90</v>
      </c>
      <c r="C338" s="5" t="s">
        <v>529</v>
      </c>
      <c r="D338" s="5" t="s">
        <v>521</v>
      </c>
      <c r="E338" s="5" t="s">
        <v>530</v>
      </c>
      <c r="F338" s="10" t="n">
        <f aca="false">SUMIFS(Salidas_REM!$I:$I,Salidas_REM!$D:$D,A338,Salidas_REM!$F:$F,C338,Salidas_REM!$B:$B,$B$1,Salidas_REM!$C:$C,"Realizada")</f>
        <v>0</v>
      </c>
    </row>
    <row r="339" customFormat="false" ht="15" hidden="false" customHeight="false" outlineLevel="0" collapsed="false">
      <c r="A339" s="5" t="s">
        <v>109</v>
      </c>
      <c r="B339" s="5" t="s">
        <v>90</v>
      </c>
      <c r="C339" s="5" t="s">
        <v>531</v>
      </c>
      <c r="D339" s="5" t="s">
        <v>521</v>
      </c>
      <c r="E339" s="5" t="s">
        <v>112</v>
      </c>
      <c r="F339" s="10" t="n">
        <f aca="false">SUMIFS(Salidas_REM!$I:$I,Salidas_REM!$D:$D,A339,Salidas_REM!$F:$F,C339,Salidas_REM!$B:$B,$B$1,Salidas_REM!$C:$C,"Realizada")</f>
        <v>0</v>
      </c>
    </row>
    <row r="340" customFormat="false" ht="15" hidden="false" customHeight="false" outlineLevel="0" collapsed="false">
      <c r="A340" s="5" t="s">
        <v>109</v>
      </c>
      <c r="B340" s="5" t="s">
        <v>90</v>
      </c>
      <c r="C340" s="5" t="s">
        <v>532</v>
      </c>
      <c r="D340" s="5" t="s">
        <v>521</v>
      </c>
      <c r="E340" s="5" t="s">
        <v>533</v>
      </c>
      <c r="F340" s="10" t="n">
        <f aca="false">SUMIFS(Salidas_REM!$I:$I,Salidas_REM!$D:$D,A340,Salidas_REM!$F:$F,C340,Salidas_REM!$B:$B,$B$1,Salidas_REM!$C:$C,"Realizada")</f>
        <v>0</v>
      </c>
    </row>
    <row r="341" customFormat="false" ht="15" hidden="false" customHeight="false" outlineLevel="0" collapsed="false">
      <c r="A341" s="5" t="s">
        <v>109</v>
      </c>
      <c r="B341" s="5" t="s">
        <v>90</v>
      </c>
      <c r="C341" s="5" t="s">
        <v>534</v>
      </c>
      <c r="D341" s="5" t="s">
        <v>521</v>
      </c>
      <c r="E341" s="5" t="s">
        <v>123</v>
      </c>
      <c r="F341" s="10" t="n">
        <f aca="false">SUMIFS(Salidas_REM!$I:$I,Salidas_REM!$D:$D,A341,Salidas_REM!$F:$F,C341,Salidas_REM!$B:$B,$B$1,Salidas_REM!$C:$C,"Realizada")</f>
        <v>0</v>
      </c>
    </row>
    <row r="342" customFormat="false" ht="15" hidden="false" customHeight="false" outlineLevel="0" collapsed="false">
      <c r="A342" s="5" t="s">
        <v>109</v>
      </c>
      <c r="B342" s="5" t="s">
        <v>90</v>
      </c>
      <c r="C342" s="5" t="s">
        <v>535</v>
      </c>
      <c r="D342" s="5" t="s">
        <v>521</v>
      </c>
      <c r="E342" s="5" t="s">
        <v>536</v>
      </c>
      <c r="F342" s="10" t="n">
        <f aca="false">SUMIFS(Salidas_REM!$I:$I,Salidas_REM!$D:$D,A342,Salidas_REM!$F:$F,C342,Salidas_REM!$B:$B,$B$1,Salidas_REM!$C:$C,"Realizada")</f>
        <v>0</v>
      </c>
    </row>
    <row r="343" customFormat="false" ht="15" hidden="false" customHeight="false" outlineLevel="0" collapsed="false">
      <c r="A343" s="5" t="s">
        <v>109</v>
      </c>
      <c r="B343" s="5" t="s">
        <v>90</v>
      </c>
      <c r="C343" s="5" t="s">
        <v>537</v>
      </c>
      <c r="D343" s="5" t="s">
        <v>521</v>
      </c>
      <c r="E343" s="5" t="s">
        <v>538</v>
      </c>
      <c r="F343" s="10" t="n">
        <f aca="false">SUMIFS(Salidas_REM!$I:$I,Salidas_REM!$D:$D,A343,Salidas_REM!$F:$F,C343,Salidas_REM!$B:$B,$B$1,Salidas_REM!$C:$C,"Realizada")</f>
        <v>0</v>
      </c>
    </row>
    <row r="344" customFormat="false" ht="15" hidden="false" customHeight="false" outlineLevel="0" collapsed="false">
      <c r="A344" s="5" t="s">
        <v>109</v>
      </c>
      <c r="B344" s="5" t="s">
        <v>90</v>
      </c>
      <c r="C344" s="5" t="s">
        <v>539</v>
      </c>
      <c r="D344" s="5" t="s">
        <v>521</v>
      </c>
      <c r="E344" s="5" t="s">
        <v>540</v>
      </c>
      <c r="F344" s="10" t="n">
        <f aca="false">SUMIFS(Salidas_REM!$I:$I,Salidas_REM!$D:$D,A344,Salidas_REM!$F:$F,C344,Salidas_REM!$B:$B,$B$1,Salidas_REM!$C:$C,"Realizada")</f>
        <v>0</v>
      </c>
    </row>
    <row r="345" customFormat="false" ht="15" hidden="false" customHeight="false" outlineLevel="0" collapsed="false">
      <c r="A345" s="5" t="s">
        <v>109</v>
      </c>
      <c r="B345" s="5" t="s">
        <v>90</v>
      </c>
      <c r="C345" s="5" t="s">
        <v>541</v>
      </c>
      <c r="D345" s="5" t="s">
        <v>521</v>
      </c>
      <c r="E345" s="5" t="s">
        <v>114</v>
      </c>
      <c r="F345" s="10" t="n">
        <f aca="false">SUMIFS(Salidas_REM!$I:$I,Salidas_REM!$D:$D,A345,Salidas_REM!$F:$F,C345,Salidas_REM!$B:$B,$B$1,Salidas_REM!$C:$C,"Realizada")</f>
        <v>0</v>
      </c>
    </row>
    <row r="346" customFormat="false" ht="15" hidden="false" customHeight="false" outlineLevel="0" collapsed="false">
      <c r="A346" s="5" t="s">
        <v>109</v>
      </c>
      <c r="B346" s="5" t="s">
        <v>90</v>
      </c>
      <c r="C346" s="5" t="s">
        <v>542</v>
      </c>
      <c r="D346" s="5" t="s">
        <v>521</v>
      </c>
      <c r="E346" s="5" t="s">
        <v>116</v>
      </c>
      <c r="F346" s="10" t="n">
        <f aca="false">SUMIFS(Salidas_REM!$I:$I,Salidas_REM!$D:$D,A346,Salidas_REM!$F:$F,C346,Salidas_REM!$B:$B,$B$1,Salidas_REM!$C:$C,"Realizada")</f>
        <v>0</v>
      </c>
    </row>
    <row r="347" customFormat="false" ht="15" hidden="false" customHeight="false" outlineLevel="0" collapsed="false">
      <c r="A347" s="5" t="s">
        <v>109</v>
      </c>
      <c r="B347" s="5" t="s">
        <v>90</v>
      </c>
      <c r="C347" s="5" t="s">
        <v>543</v>
      </c>
      <c r="D347" s="5" t="s">
        <v>521</v>
      </c>
      <c r="E347" s="5" t="s">
        <v>544</v>
      </c>
      <c r="F347" s="10" t="n">
        <f aca="false">SUMIFS(Salidas_REM!$I:$I,Salidas_REM!$D:$D,A347,Salidas_REM!$F:$F,C347,Salidas_REM!$B:$B,$B$1,Salidas_REM!$C:$C,"Realizada")</f>
        <v>0</v>
      </c>
    </row>
    <row r="348" customFormat="false" ht="15" hidden="false" customHeight="false" outlineLevel="0" collapsed="false">
      <c r="A348" s="5" t="s">
        <v>109</v>
      </c>
      <c r="B348" s="5" t="s">
        <v>90</v>
      </c>
      <c r="C348" s="5" t="s">
        <v>545</v>
      </c>
      <c r="D348" s="5" t="s">
        <v>521</v>
      </c>
      <c r="E348" s="5" t="s">
        <v>546</v>
      </c>
      <c r="F348" s="10" t="n">
        <f aca="false">SUMIFS(Salidas_REM!$I:$I,Salidas_REM!$D:$D,A348,Salidas_REM!$F:$F,C348,Salidas_REM!$B:$B,$B$1,Salidas_REM!$C:$C,"Realizada")</f>
        <v>0</v>
      </c>
    </row>
    <row r="349" customFormat="false" ht="15" hidden="false" customHeight="false" outlineLevel="0" collapsed="false">
      <c r="A349" s="5" t="s">
        <v>109</v>
      </c>
      <c r="B349" s="5" t="s">
        <v>90</v>
      </c>
      <c r="C349" s="5" t="s">
        <v>547</v>
      </c>
      <c r="D349" s="5" t="s">
        <v>521</v>
      </c>
      <c r="E349" s="5" t="s">
        <v>548</v>
      </c>
      <c r="F349" s="10" t="n">
        <f aca="false">SUMIFS(Salidas_REM!$I:$I,Salidas_REM!$D:$D,A349,Salidas_REM!$F:$F,C349,Salidas_REM!$B:$B,$B$1,Salidas_REM!$C:$C,"Realizada")</f>
        <v>0</v>
      </c>
    </row>
    <row r="350" customFormat="false" ht="15" hidden="false" customHeight="false" outlineLevel="0" collapsed="false">
      <c r="A350" s="5" t="s">
        <v>109</v>
      </c>
      <c r="B350" s="5" t="s">
        <v>90</v>
      </c>
      <c r="C350" s="5" t="s">
        <v>549</v>
      </c>
      <c r="D350" s="5" t="s">
        <v>521</v>
      </c>
      <c r="E350" s="5" t="s">
        <v>550</v>
      </c>
      <c r="F350" s="10" t="n">
        <f aca="false">SUMIFS(Salidas_REM!$I:$I,Salidas_REM!$D:$D,A350,Salidas_REM!$F:$F,C350,Salidas_REM!$B:$B,$B$1,Salidas_REM!$C:$C,"Realizada")</f>
        <v>0</v>
      </c>
    </row>
    <row r="351" customFormat="false" ht="15" hidden="false" customHeight="false" outlineLevel="0" collapsed="false">
      <c r="A351" s="5" t="s">
        <v>109</v>
      </c>
      <c r="B351" s="5" t="s">
        <v>90</v>
      </c>
      <c r="C351" s="5" t="s">
        <v>551</v>
      </c>
      <c r="D351" s="5" t="s">
        <v>521</v>
      </c>
      <c r="E351" s="5" t="s">
        <v>118</v>
      </c>
      <c r="F351" s="10" t="n">
        <f aca="false">SUMIFS(Salidas_REM!$I:$I,Salidas_REM!$D:$D,A351,Salidas_REM!$F:$F,C351,Salidas_REM!$B:$B,$B$1,Salidas_REM!$C:$C,"Realizada")</f>
        <v>0</v>
      </c>
    </row>
    <row r="352" customFormat="false" ht="15" hidden="false" customHeight="false" outlineLevel="0" collapsed="false">
      <c r="A352" s="5" t="s">
        <v>109</v>
      </c>
      <c r="B352" s="5" t="s">
        <v>90</v>
      </c>
      <c r="C352" s="5" t="s">
        <v>552</v>
      </c>
      <c r="D352" s="5" t="s">
        <v>521</v>
      </c>
      <c r="E352" s="5" t="s">
        <v>120</v>
      </c>
      <c r="F352" s="10" t="n">
        <f aca="false">SUMIFS(Salidas_REM!$I:$I,Salidas_REM!$D:$D,A352,Salidas_REM!$F:$F,C352,Salidas_REM!$B:$B,$B$1,Salidas_REM!$C:$C,"Realizada")</f>
        <v>0</v>
      </c>
    </row>
    <row r="353" customFormat="false" ht="15" hidden="false" customHeight="false" outlineLevel="0" collapsed="false">
      <c r="A353" s="5" t="s">
        <v>109</v>
      </c>
      <c r="B353" s="5" t="s">
        <v>90</v>
      </c>
      <c r="C353" s="5" t="s">
        <v>553</v>
      </c>
      <c r="D353" s="5" t="s">
        <v>521</v>
      </c>
      <c r="E353" s="5" t="s">
        <v>554</v>
      </c>
      <c r="F353" s="10" t="n">
        <f aca="false">SUMIFS(Salidas_REM!$I:$I,Salidas_REM!$D:$D,A353,Salidas_REM!$F:$F,C353,Salidas_REM!$B:$B,$B$1,Salidas_REM!$C:$C,"Realizada")</f>
        <v>0</v>
      </c>
    </row>
    <row r="354" customFormat="false" ht="15" hidden="false" customHeight="false" outlineLevel="0" collapsed="false">
      <c r="A354" s="5" t="s">
        <v>109</v>
      </c>
      <c r="B354" s="5" t="s">
        <v>90</v>
      </c>
      <c r="C354" s="5" t="s">
        <v>555</v>
      </c>
      <c r="D354" s="5" t="s">
        <v>556</v>
      </c>
      <c r="E354" s="5" t="s">
        <v>522</v>
      </c>
      <c r="F354" s="10" t="n">
        <f aca="false">SUMIFS(Salidas_REM!$I:$I,Salidas_REM!$D:$D,A354,Salidas_REM!$F:$F,C354,Salidas_REM!$B:$B,$B$1,Salidas_REM!$C:$C,"Realizada")</f>
        <v>0</v>
      </c>
    </row>
    <row r="355" customFormat="false" ht="15" hidden="false" customHeight="false" outlineLevel="0" collapsed="false">
      <c r="A355" s="5" t="s">
        <v>109</v>
      </c>
      <c r="B355" s="5" t="s">
        <v>90</v>
      </c>
      <c r="C355" s="5" t="s">
        <v>557</v>
      </c>
      <c r="D355" s="5" t="s">
        <v>556</v>
      </c>
      <c r="E355" s="5" t="s">
        <v>524</v>
      </c>
      <c r="F355" s="10" t="n">
        <f aca="false">SUMIFS(Salidas_REM!$I:$I,Salidas_REM!$D:$D,A355,Salidas_REM!$F:$F,C355,Salidas_REM!$B:$B,$B$1,Salidas_REM!$C:$C,"Realizada")</f>
        <v>0</v>
      </c>
    </row>
    <row r="356" customFormat="false" ht="15" hidden="false" customHeight="false" outlineLevel="0" collapsed="false">
      <c r="A356" s="5" t="s">
        <v>109</v>
      </c>
      <c r="B356" s="5" t="s">
        <v>90</v>
      </c>
      <c r="C356" s="5" t="s">
        <v>558</v>
      </c>
      <c r="D356" s="5" t="s">
        <v>556</v>
      </c>
      <c r="E356" s="5" t="s">
        <v>526</v>
      </c>
      <c r="F356" s="10" t="n">
        <f aca="false">SUMIFS(Salidas_REM!$I:$I,Salidas_REM!$D:$D,A356,Salidas_REM!$F:$F,C356,Salidas_REM!$B:$B,$B$1,Salidas_REM!$C:$C,"Realizada")</f>
        <v>0</v>
      </c>
    </row>
    <row r="357" customFormat="false" ht="15" hidden="false" customHeight="false" outlineLevel="0" collapsed="false">
      <c r="A357" s="5" t="s">
        <v>109</v>
      </c>
      <c r="B357" s="5" t="s">
        <v>90</v>
      </c>
      <c r="C357" s="5" t="s">
        <v>559</v>
      </c>
      <c r="D357" s="5" t="s">
        <v>556</v>
      </c>
      <c r="E357" s="5" t="s">
        <v>528</v>
      </c>
      <c r="F357" s="10" t="n">
        <f aca="false">SUMIFS(Salidas_REM!$I:$I,Salidas_REM!$D:$D,A357,Salidas_REM!$F:$F,C357,Salidas_REM!$B:$B,$B$1,Salidas_REM!$C:$C,"Realizada")</f>
        <v>0</v>
      </c>
    </row>
    <row r="358" customFormat="false" ht="15" hidden="false" customHeight="false" outlineLevel="0" collapsed="false">
      <c r="A358" s="5" t="s">
        <v>109</v>
      </c>
      <c r="B358" s="5" t="s">
        <v>90</v>
      </c>
      <c r="C358" s="5" t="s">
        <v>560</v>
      </c>
      <c r="D358" s="5" t="s">
        <v>556</v>
      </c>
      <c r="E358" s="5" t="s">
        <v>530</v>
      </c>
      <c r="F358" s="10" t="n">
        <f aca="false">SUMIFS(Salidas_REM!$I:$I,Salidas_REM!$D:$D,A358,Salidas_REM!$F:$F,C358,Salidas_REM!$B:$B,$B$1,Salidas_REM!$C:$C,"Realizada")</f>
        <v>0</v>
      </c>
    </row>
    <row r="359" customFormat="false" ht="15" hidden="false" customHeight="false" outlineLevel="0" collapsed="false">
      <c r="A359" s="5" t="s">
        <v>109</v>
      </c>
      <c r="B359" s="5" t="s">
        <v>90</v>
      </c>
      <c r="C359" s="5" t="s">
        <v>561</v>
      </c>
      <c r="D359" s="5" t="s">
        <v>556</v>
      </c>
      <c r="E359" s="5" t="s">
        <v>112</v>
      </c>
      <c r="F359" s="10" t="n">
        <f aca="false">SUMIFS(Salidas_REM!$I:$I,Salidas_REM!$D:$D,A359,Salidas_REM!$F:$F,C359,Salidas_REM!$B:$B,$B$1,Salidas_REM!$C:$C,"Realizada")</f>
        <v>0</v>
      </c>
    </row>
    <row r="360" customFormat="false" ht="15" hidden="false" customHeight="false" outlineLevel="0" collapsed="false">
      <c r="A360" s="5" t="s">
        <v>109</v>
      </c>
      <c r="B360" s="5" t="s">
        <v>90</v>
      </c>
      <c r="C360" s="5" t="s">
        <v>562</v>
      </c>
      <c r="D360" s="5" t="s">
        <v>556</v>
      </c>
      <c r="E360" s="5" t="s">
        <v>533</v>
      </c>
      <c r="F360" s="10" t="n">
        <f aca="false">SUMIFS(Salidas_REM!$I:$I,Salidas_REM!$D:$D,A360,Salidas_REM!$F:$F,C360,Salidas_REM!$B:$B,$B$1,Salidas_REM!$C:$C,"Realizada")</f>
        <v>0</v>
      </c>
    </row>
    <row r="361" customFormat="false" ht="15" hidden="false" customHeight="false" outlineLevel="0" collapsed="false">
      <c r="A361" s="5" t="s">
        <v>109</v>
      </c>
      <c r="B361" s="5" t="s">
        <v>90</v>
      </c>
      <c r="C361" s="5" t="s">
        <v>563</v>
      </c>
      <c r="D361" s="5" t="s">
        <v>556</v>
      </c>
      <c r="E361" s="5" t="s">
        <v>123</v>
      </c>
      <c r="F361" s="10" t="n">
        <f aca="false">SUMIFS(Salidas_REM!$I:$I,Salidas_REM!$D:$D,A361,Salidas_REM!$F:$F,C361,Salidas_REM!$B:$B,$B$1,Salidas_REM!$C:$C,"Realizada")</f>
        <v>0</v>
      </c>
    </row>
    <row r="362" customFormat="false" ht="15" hidden="false" customHeight="false" outlineLevel="0" collapsed="false">
      <c r="A362" s="5" t="s">
        <v>109</v>
      </c>
      <c r="B362" s="5" t="s">
        <v>90</v>
      </c>
      <c r="C362" s="5" t="s">
        <v>564</v>
      </c>
      <c r="D362" s="5" t="s">
        <v>556</v>
      </c>
      <c r="E362" s="5" t="s">
        <v>536</v>
      </c>
      <c r="F362" s="10" t="n">
        <f aca="false">SUMIFS(Salidas_REM!$I:$I,Salidas_REM!$D:$D,A362,Salidas_REM!$F:$F,C362,Salidas_REM!$B:$B,$B$1,Salidas_REM!$C:$C,"Realizada")</f>
        <v>0</v>
      </c>
    </row>
    <row r="363" customFormat="false" ht="15" hidden="false" customHeight="false" outlineLevel="0" collapsed="false">
      <c r="A363" s="5" t="s">
        <v>109</v>
      </c>
      <c r="B363" s="5" t="s">
        <v>90</v>
      </c>
      <c r="C363" s="5" t="s">
        <v>565</v>
      </c>
      <c r="D363" s="5" t="s">
        <v>556</v>
      </c>
      <c r="E363" s="5" t="s">
        <v>538</v>
      </c>
      <c r="F363" s="10" t="n">
        <f aca="false">SUMIFS(Salidas_REM!$I:$I,Salidas_REM!$D:$D,A363,Salidas_REM!$F:$F,C363,Salidas_REM!$B:$B,$B$1,Salidas_REM!$C:$C,"Realizada")</f>
        <v>0</v>
      </c>
    </row>
    <row r="364" customFormat="false" ht="15" hidden="false" customHeight="false" outlineLevel="0" collapsed="false">
      <c r="A364" s="5" t="s">
        <v>109</v>
      </c>
      <c r="B364" s="5" t="s">
        <v>90</v>
      </c>
      <c r="C364" s="5" t="s">
        <v>566</v>
      </c>
      <c r="D364" s="5" t="s">
        <v>556</v>
      </c>
      <c r="E364" s="5" t="s">
        <v>540</v>
      </c>
      <c r="F364" s="10" t="n">
        <f aca="false">SUMIFS(Salidas_REM!$I:$I,Salidas_REM!$D:$D,A364,Salidas_REM!$F:$F,C364,Salidas_REM!$B:$B,$B$1,Salidas_REM!$C:$C,"Realizada")</f>
        <v>0</v>
      </c>
    </row>
    <row r="365" customFormat="false" ht="15" hidden="false" customHeight="false" outlineLevel="0" collapsed="false">
      <c r="A365" s="5" t="s">
        <v>109</v>
      </c>
      <c r="B365" s="5" t="s">
        <v>90</v>
      </c>
      <c r="C365" s="5" t="s">
        <v>567</v>
      </c>
      <c r="D365" s="5" t="s">
        <v>556</v>
      </c>
      <c r="E365" s="5" t="s">
        <v>114</v>
      </c>
      <c r="F365" s="10" t="n">
        <f aca="false">SUMIFS(Salidas_REM!$I:$I,Salidas_REM!$D:$D,A365,Salidas_REM!$F:$F,C365,Salidas_REM!$B:$B,$B$1,Salidas_REM!$C:$C,"Realizada")</f>
        <v>0</v>
      </c>
    </row>
    <row r="366" customFormat="false" ht="15" hidden="false" customHeight="false" outlineLevel="0" collapsed="false">
      <c r="A366" s="5" t="s">
        <v>109</v>
      </c>
      <c r="B366" s="5" t="s">
        <v>90</v>
      </c>
      <c r="C366" s="5" t="s">
        <v>568</v>
      </c>
      <c r="D366" s="5" t="s">
        <v>556</v>
      </c>
      <c r="E366" s="5" t="s">
        <v>116</v>
      </c>
      <c r="F366" s="10" t="n">
        <f aca="false">SUMIFS(Salidas_REM!$I:$I,Salidas_REM!$D:$D,A366,Salidas_REM!$F:$F,C366,Salidas_REM!$B:$B,$B$1,Salidas_REM!$C:$C,"Realizada")</f>
        <v>0</v>
      </c>
    </row>
    <row r="367" customFormat="false" ht="15" hidden="false" customHeight="false" outlineLevel="0" collapsed="false">
      <c r="A367" s="5" t="s">
        <v>109</v>
      </c>
      <c r="B367" s="5" t="s">
        <v>90</v>
      </c>
      <c r="C367" s="5" t="s">
        <v>569</v>
      </c>
      <c r="D367" s="5" t="s">
        <v>556</v>
      </c>
      <c r="E367" s="5" t="s">
        <v>544</v>
      </c>
      <c r="F367" s="10" t="n">
        <f aca="false">SUMIFS(Salidas_REM!$I:$I,Salidas_REM!$D:$D,A367,Salidas_REM!$F:$F,C367,Salidas_REM!$B:$B,$B$1,Salidas_REM!$C:$C,"Realizada")</f>
        <v>0</v>
      </c>
    </row>
    <row r="368" customFormat="false" ht="15" hidden="false" customHeight="false" outlineLevel="0" collapsed="false">
      <c r="A368" s="5" t="s">
        <v>109</v>
      </c>
      <c r="B368" s="5" t="s">
        <v>90</v>
      </c>
      <c r="C368" s="5" t="s">
        <v>570</v>
      </c>
      <c r="D368" s="5" t="s">
        <v>556</v>
      </c>
      <c r="E368" s="5" t="s">
        <v>546</v>
      </c>
      <c r="F368" s="10" t="n">
        <f aca="false">SUMIFS(Salidas_REM!$I:$I,Salidas_REM!$D:$D,A368,Salidas_REM!$F:$F,C368,Salidas_REM!$B:$B,$B$1,Salidas_REM!$C:$C,"Realizada")</f>
        <v>0</v>
      </c>
    </row>
    <row r="369" customFormat="false" ht="15" hidden="false" customHeight="false" outlineLevel="0" collapsed="false">
      <c r="A369" s="5" t="s">
        <v>109</v>
      </c>
      <c r="B369" s="5" t="s">
        <v>90</v>
      </c>
      <c r="C369" s="5" t="s">
        <v>571</v>
      </c>
      <c r="D369" s="5" t="s">
        <v>556</v>
      </c>
      <c r="E369" s="5" t="s">
        <v>548</v>
      </c>
      <c r="F369" s="10" t="n">
        <f aca="false">SUMIFS(Salidas_REM!$I:$I,Salidas_REM!$D:$D,A369,Salidas_REM!$F:$F,C369,Salidas_REM!$B:$B,$B$1,Salidas_REM!$C:$C,"Realizada")</f>
        <v>0</v>
      </c>
    </row>
    <row r="370" customFormat="false" ht="15" hidden="false" customHeight="false" outlineLevel="0" collapsed="false">
      <c r="A370" s="5" t="s">
        <v>109</v>
      </c>
      <c r="B370" s="5" t="s">
        <v>90</v>
      </c>
      <c r="C370" s="5" t="s">
        <v>572</v>
      </c>
      <c r="D370" s="5" t="s">
        <v>556</v>
      </c>
      <c r="E370" s="5" t="s">
        <v>550</v>
      </c>
      <c r="F370" s="10" t="n">
        <f aca="false">SUMIFS(Salidas_REM!$I:$I,Salidas_REM!$D:$D,A370,Salidas_REM!$F:$F,C370,Salidas_REM!$B:$B,$B$1,Salidas_REM!$C:$C,"Realizada")</f>
        <v>0</v>
      </c>
    </row>
    <row r="371" customFormat="false" ht="15" hidden="false" customHeight="false" outlineLevel="0" collapsed="false">
      <c r="A371" s="5" t="s">
        <v>109</v>
      </c>
      <c r="B371" s="5" t="s">
        <v>90</v>
      </c>
      <c r="C371" s="5" t="s">
        <v>573</v>
      </c>
      <c r="D371" s="5" t="s">
        <v>556</v>
      </c>
      <c r="E371" s="5" t="s">
        <v>118</v>
      </c>
      <c r="F371" s="10" t="n">
        <f aca="false">SUMIFS(Salidas_REM!$I:$I,Salidas_REM!$D:$D,A371,Salidas_REM!$F:$F,C371,Salidas_REM!$B:$B,$B$1,Salidas_REM!$C:$C,"Realizada")</f>
        <v>0</v>
      </c>
    </row>
    <row r="372" customFormat="false" ht="15" hidden="false" customHeight="false" outlineLevel="0" collapsed="false">
      <c r="A372" s="5" t="s">
        <v>109</v>
      </c>
      <c r="B372" s="5" t="s">
        <v>90</v>
      </c>
      <c r="C372" s="5" t="s">
        <v>574</v>
      </c>
      <c r="D372" s="5" t="s">
        <v>556</v>
      </c>
      <c r="E372" s="5" t="s">
        <v>120</v>
      </c>
      <c r="F372" s="10" t="n">
        <f aca="false">SUMIFS(Salidas_REM!$I:$I,Salidas_REM!$D:$D,A372,Salidas_REM!$F:$F,C372,Salidas_REM!$B:$B,$B$1,Salidas_REM!$C:$C,"Realizada")</f>
        <v>0</v>
      </c>
    </row>
    <row r="373" customFormat="false" ht="15" hidden="false" customHeight="false" outlineLevel="0" collapsed="false">
      <c r="A373" s="5" t="s">
        <v>109</v>
      </c>
      <c r="B373" s="5" t="s">
        <v>90</v>
      </c>
      <c r="C373" s="5" t="s">
        <v>575</v>
      </c>
      <c r="D373" s="5" t="s">
        <v>556</v>
      </c>
      <c r="E373" s="5" t="s">
        <v>554</v>
      </c>
      <c r="F373" s="10" t="n">
        <f aca="false">SUMIFS(Salidas_REM!$I:$I,Salidas_REM!$D:$D,A373,Salidas_REM!$F:$F,C373,Salidas_REM!$B:$B,$B$1,Salidas_REM!$C:$C,"Realizada")</f>
        <v>0</v>
      </c>
    </row>
    <row r="374" customFormat="false" ht="15" hidden="false" customHeight="false" outlineLevel="0" collapsed="false">
      <c r="A374" s="5" t="s">
        <v>109</v>
      </c>
      <c r="B374" s="5" t="s">
        <v>90</v>
      </c>
      <c r="C374" s="5" t="s">
        <v>576</v>
      </c>
      <c r="D374" s="5" t="s">
        <v>577</v>
      </c>
      <c r="E374" s="5" t="s">
        <v>522</v>
      </c>
      <c r="F374" s="10" t="n">
        <f aca="false">SUMIFS(Salidas_REM!$I:$I,Salidas_REM!$D:$D,A374,Salidas_REM!$F:$F,C374,Salidas_REM!$B:$B,$B$1,Salidas_REM!$C:$C,"Realizada")</f>
        <v>0</v>
      </c>
    </row>
    <row r="375" customFormat="false" ht="15" hidden="false" customHeight="false" outlineLevel="0" collapsed="false">
      <c r="A375" s="5" t="s">
        <v>109</v>
      </c>
      <c r="B375" s="5" t="s">
        <v>90</v>
      </c>
      <c r="C375" s="5" t="s">
        <v>578</v>
      </c>
      <c r="D375" s="5" t="s">
        <v>577</v>
      </c>
      <c r="E375" s="5" t="s">
        <v>524</v>
      </c>
      <c r="F375" s="10" t="n">
        <f aca="false">SUMIFS(Salidas_REM!$I:$I,Salidas_REM!$D:$D,A375,Salidas_REM!$F:$F,C375,Salidas_REM!$B:$B,$B$1,Salidas_REM!$C:$C,"Realizada")</f>
        <v>0</v>
      </c>
    </row>
    <row r="376" customFormat="false" ht="15" hidden="false" customHeight="false" outlineLevel="0" collapsed="false">
      <c r="A376" s="5" t="s">
        <v>109</v>
      </c>
      <c r="B376" s="5" t="s">
        <v>90</v>
      </c>
      <c r="C376" s="5" t="s">
        <v>579</v>
      </c>
      <c r="D376" s="5" t="s">
        <v>577</v>
      </c>
      <c r="E376" s="5" t="s">
        <v>526</v>
      </c>
      <c r="F376" s="10" t="n">
        <f aca="false">SUMIFS(Salidas_REM!$I:$I,Salidas_REM!$D:$D,A376,Salidas_REM!$F:$F,C376,Salidas_REM!$B:$B,$B$1,Salidas_REM!$C:$C,"Realizada")</f>
        <v>0</v>
      </c>
    </row>
    <row r="377" customFormat="false" ht="15" hidden="false" customHeight="false" outlineLevel="0" collapsed="false">
      <c r="A377" s="5" t="s">
        <v>109</v>
      </c>
      <c r="B377" s="5" t="s">
        <v>90</v>
      </c>
      <c r="C377" s="5" t="s">
        <v>580</v>
      </c>
      <c r="D377" s="5" t="s">
        <v>577</v>
      </c>
      <c r="E377" s="5" t="s">
        <v>528</v>
      </c>
      <c r="F377" s="10" t="n">
        <f aca="false">SUMIFS(Salidas_REM!$I:$I,Salidas_REM!$D:$D,A377,Salidas_REM!$F:$F,C377,Salidas_REM!$B:$B,$B$1,Salidas_REM!$C:$C,"Realizada")</f>
        <v>0</v>
      </c>
    </row>
    <row r="378" customFormat="false" ht="15" hidden="false" customHeight="false" outlineLevel="0" collapsed="false">
      <c r="A378" s="5" t="s">
        <v>109</v>
      </c>
      <c r="B378" s="5" t="s">
        <v>90</v>
      </c>
      <c r="C378" s="5" t="s">
        <v>581</v>
      </c>
      <c r="D378" s="5" t="s">
        <v>577</v>
      </c>
      <c r="E378" s="5" t="s">
        <v>530</v>
      </c>
      <c r="F378" s="10" t="n">
        <f aca="false">SUMIFS(Salidas_REM!$I:$I,Salidas_REM!$D:$D,A378,Salidas_REM!$F:$F,C378,Salidas_REM!$B:$B,$B$1,Salidas_REM!$C:$C,"Realizada")</f>
        <v>0</v>
      </c>
    </row>
    <row r="379" customFormat="false" ht="15" hidden="false" customHeight="false" outlineLevel="0" collapsed="false">
      <c r="A379" s="5" t="s">
        <v>109</v>
      </c>
      <c r="B379" s="5" t="s">
        <v>90</v>
      </c>
      <c r="C379" s="5" t="s">
        <v>582</v>
      </c>
      <c r="D379" s="5" t="s">
        <v>577</v>
      </c>
      <c r="E379" s="5" t="s">
        <v>112</v>
      </c>
      <c r="F379" s="10" t="n">
        <f aca="false">SUMIFS(Salidas_REM!$I:$I,Salidas_REM!$D:$D,A379,Salidas_REM!$F:$F,C379,Salidas_REM!$B:$B,$B$1,Salidas_REM!$C:$C,"Realizada")</f>
        <v>0</v>
      </c>
    </row>
    <row r="380" customFormat="false" ht="15" hidden="false" customHeight="false" outlineLevel="0" collapsed="false">
      <c r="A380" s="5" t="s">
        <v>109</v>
      </c>
      <c r="B380" s="5" t="s">
        <v>90</v>
      </c>
      <c r="C380" s="5" t="s">
        <v>583</v>
      </c>
      <c r="D380" s="5" t="s">
        <v>577</v>
      </c>
      <c r="E380" s="5" t="s">
        <v>533</v>
      </c>
      <c r="F380" s="10" t="n">
        <f aca="false">SUMIFS(Salidas_REM!$I:$I,Salidas_REM!$D:$D,A380,Salidas_REM!$F:$F,C380,Salidas_REM!$B:$B,$B$1,Salidas_REM!$C:$C,"Realizada")</f>
        <v>0</v>
      </c>
    </row>
    <row r="381" customFormat="false" ht="15" hidden="false" customHeight="false" outlineLevel="0" collapsed="false">
      <c r="A381" s="5" t="s">
        <v>109</v>
      </c>
      <c r="B381" s="5" t="s">
        <v>90</v>
      </c>
      <c r="C381" s="5" t="s">
        <v>584</v>
      </c>
      <c r="D381" s="5" t="s">
        <v>577</v>
      </c>
      <c r="E381" s="5" t="s">
        <v>123</v>
      </c>
      <c r="F381" s="10" t="n">
        <f aca="false">SUMIFS(Salidas_REM!$I:$I,Salidas_REM!$D:$D,A381,Salidas_REM!$F:$F,C381,Salidas_REM!$B:$B,$B$1,Salidas_REM!$C:$C,"Realizada")</f>
        <v>0</v>
      </c>
    </row>
    <row r="382" customFormat="false" ht="15" hidden="false" customHeight="false" outlineLevel="0" collapsed="false">
      <c r="A382" s="5" t="s">
        <v>109</v>
      </c>
      <c r="B382" s="5" t="s">
        <v>90</v>
      </c>
      <c r="C382" s="5" t="s">
        <v>585</v>
      </c>
      <c r="D382" s="5" t="s">
        <v>577</v>
      </c>
      <c r="E382" s="5" t="s">
        <v>536</v>
      </c>
      <c r="F382" s="10" t="n">
        <f aca="false">SUMIFS(Salidas_REM!$I:$I,Salidas_REM!$D:$D,A382,Salidas_REM!$F:$F,C382,Salidas_REM!$B:$B,$B$1,Salidas_REM!$C:$C,"Realizada")</f>
        <v>0</v>
      </c>
    </row>
    <row r="383" customFormat="false" ht="15" hidden="false" customHeight="false" outlineLevel="0" collapsed="false">
      <c r="A383" s="5" t="s">
        <v>109</v>
      </c>
      <c r="B383" s="5" t="s">
        <v>90</v>
      </c>
      <c r="C383" s="5" t="s">
        <v>586</v>
      </c>
      <c r="D383" s="5" t="s">
        <v>577</v>
      </c>
      <c r="E383" s="5" t="s">
        <v>538</v>
      </c>
      <c r="F383" s="10" t="n">
        <f aca="false">SUMIFS(Salidas_REM!$I:$I,Salidas_REM!$D:$D,A383,Salidas_REM!$F:$F,C383,Salidas_REM!$B:$B,$B$1,Salidas_REM!$C:$C,"Realizada")</f>
        <v>0</v>
      </c>
    </row>
    <row r="384" customFormat="false" ht="15" hidden="false" customHeight="false" outlineLevel="0" collapsed="false">
      <c r="A384" s="5" t="s">
        <v>109</v>
      </c>
      <c r="B384" s="5" t="s">
        <v>90</v>
      </c>
      <c r="C384" s="5" t="s">
        <v>587</v>
      </c>
      <c r="D384" s="5" t="s">
        <v>577</v>
      </c>
      <c r="E384" s="5" t="s">
        <v>540</v>
      </c>
      <c r="F384" s="10" t="n">
        <f aca="false">SUMIFS(Salidas_REM!$I:$I,Salidas_REM!$D:$D,A384,Salidas_REM!$F:$F,C384,Salidas_REM!$B:$B,$B$1,Salidas_REM!$C:$C,"Realizada")</f>
        <v>0</v>
      </c>
    </row>
    <row r="385" customFormat="false" ht="15" hidden="false" customHeight="false" outlineLevel="0" collapsed="false">
      <c r="A385" s="5" t="s">
        <v>109</v>
      </c>
      <c r="B385" s="5" t="s">
        <v>90</v>
      </c>
      <c r="C385" s="5" t="s">
        <v>588</v>
      </c>
      <c r="D385" s="5" t="s">
        <v>577</v>
      </c>
      <c r="E385" s="5" t="s">
        <v>114</v>
      </c>
      <c r="F385" s="10" t="n">
        <f aca="false">SUMIFS(Salidas_REM!$I:$I,Salidas_REM!$D:$D,A385,Salidas_REM!$F:$F,C385,Salidas_REM!$B:$B,$B$1,Salidas_REM!$C:$C,"Realizada")</f>
        <v>0</v>
      </c>
    </row>
    <row r="386" customFormat="false" ht="15" hidden="false" customHeight="false" outlineLevel="0" collapsed="false">
      <c r="A386" s="5" t="s">
        <v>109</v>
      </c>
      <c r="B386" s="5" t="s">
        <v>90</v>
      </c>
      <c r="C386" s="5" t="s">
        <v>589</v>
      </c>
      <c r="D386" s="5" t="s">
        <v>577</v>
      </c>
      <c r="E386" s="5" t="s">
        <v>116</v>
      </c>
      <c r="F386" s="10" t="n">
        <f aca="false">SUMIFS(Salidas_REM!$I:$I,Salidas_REM!$D:$D,A386,Salidas_REM!$F:$F,C386,Salidas_REM!$B:$B,$B$1,Salidas_REM!$C:$C,"Realizada")</f>
        <v>0</v>
      </c>
    </row>
    <row r="387" customFormat="false" ht="15" hidden="false" customHeight="false" outlineLevel="0" collapsed="false">
      <c r="A387" s="5" t="s">
        <v>109</v>
      </c>
      <c r="B387" s="5" t="s">
        <v>90</v>
      </c>
      <c r="C387" s="5" t="s">
        <v>590</v>
      </c>
      <c r="D387" s="5" t="s">
        <v>577</v>
      </c>
      <c r="E387" s="5" t="s">
        <v>544</v>
      </c>
      <c r="F387" s="10" t="n">
        <f aca="false">SUMIFS(Salidas_REM!$I:$I,Salidas_REM!$D:$D,A387,Salidas_REM!$F:$F,C387,Salidas_REM!$B:$B,$B$1,Salidas_REM!$C:$C,"Realizada")</f>
        <v>0</v>
      </c>
    </row>
    <row r="388" customFormat="false" ht="15" hidden="false" customHeight="false" outlineLevel="0" collapsed="false">
      <c r="A388" s="5" t="s">
        <v>109</v>
      </c>
      <c r="B388" s="5" t="s">
        <v>90</v>
      </c>
      <c r="C388" s="5" t="s">
        <v>591</v>
      </c>
      <c r="D388" s="5" t="s">
        <v>577</v>
      </c>
      <c r="E388" s="5" t="s">
        <v>546</v>
      </c>
      <c r="F388" s="10" t="n">
        <f aca="false">SUMIFS(Salidas_REM!$I:$I,Salidas_REM!$D:$D,A388,Salidas_REM!$F:$F,C388,Salidas_REM!$B:$B,$B$1,Salidas_REM!$C:$C,"Realizada")</f>
        <v>0</v>
      </c>
    </row>
    <row r="389" customFormat="false" ht="15" hidden="false" customHeight="false" outlineLevel="0" collapsed="false">
      <c r="A389" s="5" t="s">
        <v>109</v>
      </c>
      <c r="B389" s="5" t="s">
        <v>90</v>
      </c>
      <c r="C389" s="5" t="s">
        <v>592</v>
      </c>
      <c r="D389" s="5" t="s">
        <v>577</v>
      </c>
      <c r="E389" s="5" t="s">
        <v>548</v>
      </c>
      <c r="F389" s="10" t="n">
        <f aca="false">SUMIFS(Salidas_REM!$I:$I,Salidas_REM!$D:$D,A389,Salidas_REM!$F:$F,C389,Salidas_REM!$B:$B,$B$1,Salidas_REM!$C:$C,"Realizada")</f>
        <v>0</v>
      </c>
    </row>
    <row r="390" customFormat="false" ht="15" hidden="false" customHeight="false" outlineLevel="0" collapsed="false">
      <c r="A390" s="5" t="s">
        <v>109</v>
      </c>
      <c r="B390" s="5" t="s">
        <v>90</v>
      </c>
      <c r="C390" s="5" t="s">
        <v>593</v>
      </c>
      <c r="D390" s="5" t="s">
        <v>577</v>
      </c>
      <c r="E390" s="5" t="s">
        <v>550</v>
      </c>
      <c r="F390" s="10" t="n">
        <f aca="false">SUMIFS(Salidas_REM!$I:$I,Salidas_REM!$D:$D,A390,Salidas_REM!$F:$F,C390,Salidas_REM!$B:$B,$B$1,Salidas_REM!$C:$C,"Realizada")</f>
        <v>0</v>
      </c>
    </row>
    <row r="391" customFormat="false" ht="15" hidden="false" customHeight="false" outlineLevel="0" collapsed="false">
      <c r="A391" s="5" t="s">
        <v>109</v>
      </c>
      <c r="B391" s="5" t="s">
        <v>90</v>
      </c>
      <c r="C391" s="5" t="s">
        <v>594</v>
      </c>
      <c r="D391" s="5" t="s">
        <v>577</v>
      </c>
      <c r="E391" s="5" t="s">
        <v>118</v>
      </c>
      <c r="F391" s="10" t="n">
        <f aca="false">SUMIFS(Salidas_REM!$I:$I,Salidas_REM!$D:$D,A391,Salidas_REM!$F:$F,C391,Salidas_REM!$B:$B,$B$1,Salidas_REM!$C:$C,"Realizada")</f>
        <v>0</v>
      </c>
    </row>
    <row r="392" customFormat="false" ht="15" hidden="false" customHeight="false" outlineLevel="0" collapsed="false">
      <c r="A392" s="5" t="s">
        <v>109</v>
      </c>
      <c r="B392" s="5" t="s">
        <v>90</v>
      </c>
      <c r="C392" s="5" t="s">
        <v>595</v>
      </c>
      <c r="D392" s="5" t="s">
        <v>577</v>
      </c>
      <c r="E392" s="5" t="s">
        <v>120</v>
      </c>
      <c r="F392" s="10" t="n">
        <f aca="false">SUMIFS(Salidas_REM!$I:$I,Salidas_REM!$D:$D,A392,Salidas_REM!$F:$F,C392,Salidas_REM!$B:$B,$B$1,Salidas_REM!$C:$C,"Realizada")</f>
        <v>0</v>
      </c>
    </row>
    <row r="393" customFormat="false" ht="15" hidden="false" customHeight="false" outlineLevel="0" collapsed="false">
      <c r="A393" s="5" t="s">
        <v>109</v>
      </c>
      <c r="B393" s="5" t="s">
        <v>90</v>
      </c>
      <c r="C393" s="5" t="s">
        <v>596</v>
      </c>
      <c r="D393" s="5" t="s">
        <v>577</v>
      </c>
      <c r="E393" s="5" t="s">
        <v>554</v>
      </c>
      <c r="F393" s="10" t="n">
        <f aca="false">SUMIFS(Salidas_REM!$I:$I,Salidas_REM!$D:$D,A393,Salidas_REM!$F:$F,C393,Salidas_REM!$B:$B,$B$1,Salidas_REM!$C:$C,"Realizada")</f>
        <v>0</v>
      </c>
    </row>
    <row r="394" customFormat="false" ht="15" hidden="false" customHeight="false" outlineLevel="0" collapsed="false">
      <c r="A394" s="5" t="s">
        <v>109</v>
      </c>
      <c r="B394" s="5" t="s">
        <v>90</v>
      </c>
      <c r="C394" s="5" t="s">
        <v>597</v>
      </c>
      <c r="D394" s="5" t="s">
        <v>111</v>
      </c>
      <c r="E394" s="5" t="s">
        <v>522</v>
      </c>
      <c r="F394" s="10" t="n">
        <f aca="false">SUMIFS(Salidas_REM!$I:$I,Salidas_REM!$D:$D,A394,Salidas_REM!$F:$F,C394,Salidas_REM!$B:$B,$B$1,Salidas_REM!$C:$C,"Realizada")</f>
        <v>0</v>
      </c>
    </row>
    <row r="395" customFormat="false" ht="15" hidden="false" customHeight="false" outlineLevel="0" collapsed="false">
      <c r="A395" s="5" t="s">
        <v>109</v>
      </c>
      <c r="B395" s="5" t="s">
        <v>90</v>
      </c>
      <c r="C395" s="5" t="s">
        <v>598</v>
      </c>
      <c r="D395" s="5" t="s">
        <v>111</v>
      </c>
      <c r="E395" s="5" t="s">
        <v>524</v>
      </c>
      <c r="F395" s="10" t="n">
        <f aca="false">SUMIFS(Salidas_REM!$I:$I,Salidas_REM!$D:$D,A395,Salidas_REM!$F:$F,C395,Salidas_REM!$B:$B,$B$1,Salidas_REM!$C:$C,"Realizada")</f>
        <v>0</v>
      </c>
    </row>
    <row r="396" customFormat="false" ht="15" hidden="false" customHeight="false" outlineLevel="0" collapsed="false">
      <c r="A396" s="5" t="s">
        <v>109</v>
      </c>
      <c r="B396" s="5" t="s">
        <v>90</v>
      </c>
      <c r="C396" s="5" t="s">
        <v>599</v>
      </c>
      <c r="D396" s="5" t="s">
        <v>111</v>
      </c>
      <c r="E396" s="5" t="s">
        <v>526</v>
      </c>
      <c r="F396" s="10" t="n">
        <f aca="false">SUMIFS(Salidas_REM!$I:$I,Salidas_REM!$D:$D,A396,Salidas_REM!$F:$F,C396,Salidas_REM!$B:$B,$B$1,Salidas_REM!$C:$C,"Realizada")</f>
        <v>0</v>
      </c>
    </row>
    <row r="397" customFormat="false" ht="15" hidden="false" customHeight="false" outlineLevel="0" collapsed="false">
      <c r="A397" s="5" t="s">
        <v>109</v>
      </c>
      <c r="B397" s="5" t="s">
        <v>90</v>
      </c>
      <c r="C397" s="5" t="s">
        <v>600</v>
      </c>
      <c r="D397" s="5" t="s">
        <v>111</v>
      </c>
      <c r="E397" s="5" t="s">
        <v>528</v>
      </c>
      <c r="F397" s="10" t="n">
        <f aca="false">SUMIFS(Salidas_REM!$I:$I,Salidas_REM!$D:$D,A397,Salidas_REM!$F:$F,C397,Salidas_REM!$B:$B,$B$1,Salidas_REM!$C:$C,"Realizada")</f>
        <v>0</v>
      </c>
    </row>
    <row r="398" customFormat="false" ht="15" hidden="false" customHeight="false" outlineLevel="0" collapsed="false">
      <c r="A398" s="5" t="s">
        <v>109</v>
      </c>
      <c r="B398" s="5" t="s">
        <v>90</v>
      </c>
      <c r="C398" s="5" t="s">
        <v>601</v>
      </c>
      <c r="D398" s="5" t="s">
        <v>111</v>
      </c>
      <c r="E398" s="5" t="s">
        <v>530</v>
      </c>
      <c r="F398" s="10" t="n">
        <f aca="false">SUMIFS(Salidas_REM!$I:$I,Salidas_REM!$D:$D,A398,Salidas_REM!$F:$F,C398,Salidas_REM!$B:$B,$B$1,Salidas_REM!$C:$C,"Realizada")</f>
        <v>0</v>
      </c>
    </row>
    <row r="399" customFormat="false" ht="15" hidden="false" customHeight="false" outlineLevel="0" collapsed="false">
      <c r="A399" s="5" t="s">
        <v>109</v>
      </c>
      <c r="B399" s="5" t="s">
        <v>90</v>
      </c>
      <c r="C399" s="5" t="s">
        <v>110</v>
      </c>
      <c r="D399" s="5" t="s">
        <v>111</v>
      </c>
      <c r="E399" s="5" t="s">
        <v>112</v>
      </c>
      <c r="F399" s="10" t="n">
        <f aca="false">SUMIFS(Salidas_REM!$I:$I,Salidas_REM!$D:$D,A399,Salidas_REM!$F:$F,C399,Salidas_REM!$B:$B,$B$1,Salidas_REM!$C:$C,"Realizada")</f>
        <v>1</v>
      </c>
    </row>
    <row r="400" customFormat="false" ht="15" hidden="false" customHeight="false" outlineLevel="0" collapsed="false">
      <c r="A400" s="5" t="s">
        <v>109</v>
      </c>
      <c r="B400" s="5" t="s">
        <v>90</v>
      </c>
      <c r="C400" s="5" t="s">
        <v>602</v>
      </c>
      <c r="D400" s="5" t="s">
        <v>111</v>
      </c>
      <c r="E400" s="5" t="s">
        <v>533</v>
      </c>
      <c r="F400" s="10" t="n">
        <f aca="false">SUMIFS(Salidas_REM!$I:$I,Salidas_REM!$D:$D,A400,Salidas_REM!$F:$F,C400,Salidas_REM!$B:$B,$B$1,Salidas_REM!$C:$C,"Realizada")</f>
        <v>0</v>
      </c>
    </row>
    <row r="401" customFormat="false" ht="15" hidden="false" customHeight="false" outlineLevel="0" collapsed="false">
      <c r="A401" s="5" t="s">
        <v>109</v>
      </c>
      <c r="B401" s="5" t="s">
        <v>90</v>
      </c>
      <c r="C401" s="5" t="s">
        <v>603</v>
      </c>
      <c r="D401" s="5" t="s">
        <v>111</v>
      </c>
      <c r="E401" s="5" t="s">
        <v>123</v>
      </c>
      <c r="F401" s="10" t="n">
        <f aca="false">SUMIFS(Salidas_REM!$I:$I,Salidas_REM!$D:$D,A401,Salidas_REM!$F:$F,C401,Salidas_REM!$B:$B,$B$1,Salidas_REM!$C:$C,"Realizada")</f>
        <v>0</v>
      </c>
    </row>
    <row r="402" customFormat="false" ht="15" hidden="false" customHeight="false" outlineLevel="0" collapsed="false">
      <c r="A402" s="5" t="s">
        <v>109</v>
      </c>
      <c r="B402" s="5" t="s">
        <v>90</v>
      </c>
      <c r="C402" s="5" t="s">
        <v>604</v>
      </c>
      <c r="D402" s="5" t="s">
        <v>111</v>
      </c>
      <c r="E402" s="5" t="s">
        <v>536</v>
      </c>
      <c r="F402" s="10" t="n">
        <f aca="false">SUMIFS(Salidas_REM!$I:$I,Salidas_REM!$D:$D,A402,Salidas_REM!$F:$F,C402,Salidas_REM!$B:$B,$B$1,Salidas_REM!$C:$C,"Realizada")</f>
        <v>0</v>
      </c>
    </row>
    <row r="403" customFormat="false" ht="15" hidden="false" customHeight="false" outlineLevel="0" collapsed="false">
      <c r="A403" s="5" t="s">
        <v>109</v>
      </c>
      <c r="B403" s="5" t="s">
        <v>90</v>
      </c>
      <c r="C403" s="5" t="s">
        <v>605</v>
      </c>
      <c r="D403" s="5" t="s">
        <v>111</v>
      </c>
      <c r="E403" s="5" t="s">
        <v>538</v>
      </c>
      <c r="F403" s="10" t="n">
        <f aca="false">SUMIFS(Salidas_REM!$I:$I,Salidas_REM!$D:$D,A403,Salidas_REM!$F:$F,C403,Salidas_REM!$B:$B,$B$1,Salidas_REM!$C:$C,"Realizada")</f>
        <v>0</v>
      </c>
    </row>
    <row r="404" customFormat="false" ht="15" hidden="false" customHeight="false" outlineLevel="0" collapsed="false">
      <c r="A404" s="5" t="s">
        <v>109</v>
      </c>
      <c r="B404" s="5" t="s">
        <v>90</v>
      </c>
      <c r="C404" s="5" t="s">
        <v>606</v>
      </c>
      <c r="D404" s="5" t="s">
        <v>111</v>
      </c>
      <c r="E404" s="5" t="s">
        <v>540</v>
      </c>
      <c r="F404" s="10" t="n">
        <f aca="false">SUMIFS(Salidas_REM!$I:$I,Salidas_REM!$D:$D,A404,Salidas_REM!$F:$F,C404,Salidas_REM!$B:$B,$B$1,Salidas_REM!$C:$C,"Realizada")</f>
        <v>0</v>
      </c>
    </row>
    <row r="405" customFormat="false" ht="15" hidden="false" customHeight="false" outlineLevel="0" collapsed="false">
      <c r="A405" s="5" t="s">
        <v>109</v>
      </c>
      <c r="B405" s="5" t="s">
        <v>90</v>
      </c>
      <c r="C405" s="5" t="s">
        <v>113</v>
      </c>
      <c r="D405" s="5" t="s">
        <v>111</v>
      </c>
      <c r="E405" s="5" t="s">
        <v>114</v>
      </c>
      <c r="F405" s="10" t="n">
        <f aca="false">SUMIFS(Salidas_REM!$I:$I,Salidas_REM!$D:$D,A405,Salidas_REM!$F:$F,C405,Salidas_REM!$B:$B,$B$1,Salidas_REM!$C:$C,"Realizada")</f>
        <v>5</v>
      </c>
    </row>
    <row r="406" customFormat="false" ht="15" hidden="false" customHeight="false" outlineLevel="0" collapsed="false">
      <c r="A406" s="5" t="s">
        <v>109</v>
      </c>
      <c r="B406" s="5" t="s">
        <v>90</v>
      </c>
      <c r="C406" s="5" t="s">
        <v>115</v>
      </c>
      <c r="D406" s="5" t="s">
        <v>111</v>
      </c>
      <c r="E406" s="5" t="s">
        <v>116</v>
      </c>
      <c r="F406" s="10" t="n">
        <f aca="false">SUMIFS(Salidas_REM!$I:$I,Salidas_REM!$D:$D,A406,Salidas_REM!$F:$F,C406,Salidas_REM!$B:$B,$B$1,Salidas_REM!$C:$C,"Realizada")</f>
        <v>8</v>
      </c>
    </row>
    <row r="407" customFormat="false" ht="15" hidden="false" customHeight="false" outlineLevel="0" collapsed="false">
      <c r="A407" s="5" t="s">
        <v>109</v>
      </c>
      <c r="B407" s="5" t="s">
        <v>90</v>
      </c>
      <c r="C407" s="5" t="s">
        <v>607</v>
      </c>
      <c r="D407" s="5" t="s">
        <v>111</v>
      </c>
      <c r="E407" s="5" t="s">
        <v>544</v>
      </c>
      <c r="F407" s="10" t="n">
        <f aca="false">SUMIFS(Salidas_REM!$I:$I,Salidas_REM!$D:$D,A407,Salidas_REM!$F:$F,C407,Salidas_REM!$B:$B,$B$1,Salidas_REM!$C:$C,"Realizada")</f>
        <v>0</v>
      </c>
    </row>
    <row r="408" customFormat="false" ht="15" hidden="false" customHeight="false" outlineLevel="0" collapsed="false">
      <c r="A408" s="5" t="s">
        <v>109</v>
      </c>
      <c r="B408" s="5" t="s">
        <v>90</v>
      </c>
      <c r="C408" s="5" t="s">
        <v>608</v>
      </c>
      <c r="D408" s="5" t="s">
        <v>111</v>
      </c>
      <c r="E408" s="5" t="s">
        <v>546</v>
      </c>
      <c r="F408" s="10" t="n">
        <f aca="false">SUMIFS(Salidas_REM!$I:$I,Salidas_REM!$D:$D,A408,Salidas_REM!$F:$F,C408,Salidas_REM!$B:$B,$B$1,Salidas_REM!$C:$C,"Realizada")</f>
        <v>0</v>
      </c>
    </row>
    <row r="409" customFormat="false" ht="15" hidden="false" customHeight="false" outlineLevel="0" collapsed="false">
      <c r="A409" s="5" t="s">
        <v>109</v>
      </c>
      <c r="B409" s="5" t="s">
        <v>90</v>
      </c>
      <c r="C409" s="5" t="s">
        <v>609</v>
      </c>
      <c r="D409" s="5" t="s">
        <v>111</v>
      </c>
      <c r="E409" s="5" t="s">
        <v>548</v>
      </c>
      <c r="F409" s="10" t="n">
        <f aca="false">SUMIFS(Salidas_REM!$I:$I,Salidas_REM!$D:$D,A409,Salidas_REM!$F:$F,C409,Salidas_REM!$B:$B,$B$1,Salidas_REM!$C:$C,"Realizada")</f>
        <v>0</v>
      </c>
    </row>
    <row r="410" customFormat="false" ht="15" hidden="false" customHeight="false" outlineLevel="0" collapsed="false">
      <c r="A410" s="5" t="s">
        <v>109</v>
      </c>
      <c r="B410" s="5" t="s">
        <v>90</v>
      </c>
      <c r="C410" s="5" t="s">
        <v>610</v>
      </c>
      <c r="D410" s="5" t="s">
        <v>111</v>
      </c>
      <c r="E410" s="5" t="s">
        <v>550</v>
      </c>
      <c r="F410" s="10" t="n">
        <f aca="false">SUMIFS(Salidas_REM!$I:$I,Salidas_REM!$D:$D,A410,Salidas_REM!$F:$F,C410,Salidas_REM!$B:$B,$B$1,Salidas_REM!$C:$C,"Realizada")</f>
        <v>0</v>
      </c>
    </row>
    <row r="411" customFormat="false" ht="15" hidden="false" customHeight="false" outlineLevel="0" collapsed="false">
      <c r="A411" s="5" t="s">
        <v>109</v>
      </c>
      <c r="B411" s="5" t="s">
        <v>90</v>
      </c>
      <c r="C411" s="5" t="s">
        <v>117</v>
      </c>
      <c r="D411" s="5" t="s">
        <v>111</v>
      </c>
      <c r="E411" s="5" t="s">
        <v>118</v>
      </c>
      <c r="F411" s="10" t="n">
        <f aca="false">SUMIFS(Salidas_REM!$I:$I,Salidas_REM!$D:$D,A411,Salidas_REM!$F:$F,C411,Salidas_REM!$B:$B,$B$1,Salidas_REM!$C:$C,"Realizada")</f>
        <v>1</v>
      </c>
    </row>
    <row r="412" customFormat="false" ht="15" hidden="false" customHeight="false" outlineLevel="0" collapsed="false">
      <c r="A412" s="5" t="s">
        <v>109</v>
      </c>
      <c r="B412" s="5" t="s">
        <v>90</v>
      </c>
      <c r="C412" s="5" t="s">
        <v>119</v>
      </c>
      <c r="D412" s="5" t="s">
        <v>111</v>
      </c>
      <c r="E412" s="5" t="s">
        <v>120</v>
      </c>
      <c r="F412" s="10" t="n">
        <f aca="false">SUMIFS(Salidas_REM!$I:$I,Salidas_REM!$D:$D,A412,Salidas_REM!$F:$F,C412,Salidas_REM!$B:$B,$B$1,Salidas_REM!$C:$C,"Realizada")</f>
        <v>2</v>
      </c>
    </row>
    <row r="413" customFormat="false" ht="15" hidden="false" customHeight="false" outlineLevel="0" collapsed="false">
      <c r="A413" s="5" t="s">
        <v>109</v>
      </c>
      <c r="B413" s="5" t="s">
        <v>90</v>
      </c>
      <c r="C413" s="5" t="s">
        <v>611</v>
      </c>
      <c r="D413" s="5" t="s">
        <v>111</v>
      </c>
      <c r="E413" s="5" t="s">
        <v>554</v>
      </c>
      <c r="F413" s="10" t="n">
        <f aca="false">SUMIFS(Salidas_REM!$I:$I,Salidas_REM!$D:$D,A413,Salidas_REM!$F:$F,C413,Salidas_REM!$B:$B,$B$1,Salidas_REM!$C:$C,"Realizada")</f>
        <v>0</v>
      </c>
    </row>
    <row r="414" customFormat="false" ht="15" hidden="false" customHeight="false" outlineLevel="0" collapsed="false">
      <c r="A414" s="5" t="s">
        <v>109</v>
      </c>
      <c r="B414" s="5" t="s">
        <v>90</v>
      </c>
      <c r="C414" s="5" t="s">
        <v>612</v>
      </c>
      <c r="D414" s="5" t="s">
        <v>613</v>
      </c>
      <c r="E414" s="5" t="s">
        <v>522</v>
      </c>
      <c r="F414" s="10" t="n">
        <f aca="false">SUMIFS(Salidas_REM!$I:$I,Salidas_REM!$D:$D,A414,Salidas_REM!$F:$F,C414,Salidas_REM!$B:$B,$B$1,Salidas_REM!$C:$C,"Realizada")</f>
        <v>0</v>
      </c>
    </row>
    <row r="415" customFormat="false" ht="15" hidden="false" customHeight="false" outlineLevel="0" collapsed="false">
      <c r="A415" s="5" t="s">
        <v>109</v>
      </c>
      <c r="B415" s="5" t="s">
        <v>90</v>
      </c>
      <c r="C415" s="5" t="s">
        <v>614</v>
      </c>
      <c r="D415" s="5" t="s">
        <v>613</v>
      </c>
      <c r="E415" s="5" t="s">
        <v>524</v>
      </c>
      <c r="F415" s="10" t="n">
        <f aca="false">SUMIFS(Salidas_REM!$I:$I,Salidas_REM!$D:$D,A415,Salidas_REM!$F:$F,C415,Salidas_REM!$B:$B,$B$1,Salidas_REM!$C:$C,"Realizada")</f>
        <v>0</v>
      </c>
    </row>
    <row r="416" customFormat="false" ht="15" hidden="false" customHeight="false" outlineLevel="0" collapsed="false">
      <c r="A416" s="5" t="s">
        <v>109</v>
      </c>
      <c r="B416" s="5" t="s">
        <v>90</v>
      </c>
      <c r="C416" s="5" t="s">
        <v>615</v>
      </c>
      <c r="D416" s="5" t="s">
        <v>613</v>
      </c>
      <c r="E416" s="5" t="s">
        <v>526</v>
      </c>
      <c r="F416" s="10" t="n">
        <f aca="false">SUMIFS(Salidas_REM!$I:$I,Salidas_REM!$D:$D,A416,Salidas_REM!$F:$F,C416,Salidas_REM!$B:$B,$B$1,Salidas_REM!$C:$C,"Realizada")</f>
        <v>0</v>
      </c>
    </row>
    <row r="417" customFormat="false" ht="15" hidden="false" customHeight="false" outlineLevel="0" collapsed="false">
      <c r="A417" s="5" t="s">
        <v>109</v>
      </c>
      <c r="B417" s="5" t="s">
        <v>90</v>
      </c>
      <c r="C417" s="5" t="s">
        <v>616</v>
      </c>
      <c r="D417" s="5" t="s">
        <v>613</v>
      </c>
      <c r="E417" s="5" t="s">
        <v>528</v>
      </c>
      <c r="F417" s="10" t="n">
        <f aca="false">SUMIFS(Salidas_REM!$I:$I,Salidas_REM!$D:$D,A417,Salidas_REM!$F:$F,C417,Salidas_REM!$B:$B,$B$1,Salidas_REM!$C:$C,"Realizada")</f>
        <v>0</v>
      </c>
    </row>
    <row r="418" customFormat="false" ht="15" hidden="false" customHeight="false" outlineLevel="0" collapsed="false">
      <c r="A418" s="5" t="s">
        <v>109</v>
      </c>
      <c r="B418" s="5" t="s">
        <v>90</v>
      </c>
      <c r="C418" s="5" t="s">
        <v>617</v>
      </c>
      <c r="D418" s="5" t="s">
        <v>613</v>
      </c>
      <c r="E418" s="5" t="s">
        <v>530</v>
      </c>
      <c r="F418" s="10" t="n">
        <f aca="false">SUMIFS(Salidas_REM!$I:$I,Salidas_REM!$D:$D,A418,Salidas_REM!$F:$F,C418,Salidas_REM!$B:$B,$B$1,Salidas_REM!$C:$C,"Realizada")</f>
        <v>0</v>
      </c>
    </row>
    <row r="419" customFormat="false" ht="15" hidden="false" customHeight="false" outlineLevel="0" collapsed="false">
      <c r="A419" s="5" t="s">
        <v>109</v>
      </c>
      <c r="B419" s="5" t="s">
        <v>90</v>
      </c>
      <c r="C419" s="5" t="s">
        <v>618</v>
      </c>
      <c r="D419" s="5" t="s">
        <v>613</v>
      </c>
      <c r="E419" s="5" t="s">
        <v>112</v>
      </c>
      <c r="F419" s="10" t="n">
        <f aca="false">SUMIFS(Salidas_REM!$I:$I,Salidas_REM!$D:$D,A419,Salidas_REM!$F:$F,C419,Salidas_REM!$B:$B,$B$1,Salidas_REM!$C:$C,"Realizada")</f>
        <v>0</v>
      </c>
    </row>
    <row r="420" customFormat="false" ht="15" hidden="false" customHeight="false" outlineLevel="0" collapsed="false">
      <c r="A420" s="5" t="s">
        <v>109</v>
      </c>
      <c r="B420" s="5" t="s">
        <v>90</v>
      </c>
      <c r="C420" s="5" t="s">
        <v>619</v>
      </c>
      <c r="D420" s="5" t="s">
        <v>613</v>
      </c>
      <c r="E420" s="5" t="s">
        <v>533</v>
      </c>
      <c r="F420" s="10" t="n">
        <f aca="false">SUMIFS(Salidas_REM!$I:$I,Salidas_REM!$D:$D,A420,Salidas_REM!$F:$F,C420,Salidas_REM!$B:$B,$B$1,Salidas_REM!$C:$C,"Realizada")</f>
        <v>0</v>
      </c>
    </row>
    <row r="421" customFormat="false" ht="15" hidden="false" customHeight="false" outlineLevel="0" collapsed="false">
      <c r="A421" s="5" t="s">
        <v>109</v>
      </c>
      <c r="B421" s="5" t="s">
        <v>90</v>
      </c>
      <c r="C421" s="5" t="s">
        <v>620</v>
      </c>
      <c r="D421" s="5" t="s">
        <v>613</v>
      </c>
      <c r="E421" s="5" t="s">
        <v>123</v>
      </c>
      <c r="F421" s="10" t="n">
        <f aca="false">SUMIFS(Salidas_REM!$I:$I,Salidas_REM!$D:$D,A421,Salidas_REM!$F:$F,C421,Salidas_REM!$B:$B,$B$1,Salidas_REM!$C:$C,"Realizada")</f>
        <v>0</v>
      </c>
    </row>
    <row r="422" customFormat="false" ht="15" hidden="false" customHeight="false" outlineLevel="0" collapsed="false">
      <c r="A422" s="5" t="s">
        <v>109</v>
      </c>
      <c r="B422" s="5" t="s">
        <v>90</v>
      </c>
      <c r="C422" s="5" t="s">
        <v>621</v>
      </c>
      <c r="D422" s="5" t="s">
        <v>613</v>
      </c>
      <c r="E422" s="5" t="s">
        <v>536</v>
      </c>
      <c r="F422" s="10" t="n">
        <f aca="false">SUMIFS(Salidas_REM!$I:$I,Salidas_REM!$D:$D,A422,Salidas_REM!$F:$F,C422,Salidas_REM!$B:$B,$B$1,Salidas_REM!$C:$C,"Realizada")</f>
        <v>0</v>
      </c>
    </row>
    <row r="423" customFormat="false" ht="15" hidden="false" customHeight="false" outlineLevel="0" collapsed="false">
      <c r="A423" s="5" t="s">
        <v>109</v>
      </c>
      <c r="B423" s="5" t="s">
        <v>90</v>
      </c>
      <c r="C423" s="5" t="s">
        <v>622</v>
      </c>
      <c r="D423" s="5" t="s">
        <v>613</v>
      </c>
      <c r="E423" s="5" t="s">
        <v>538</v>
      </c>
      <c r="F423" s="10" t="n">
        <f aca="false">SUMIFS(Salidas_REM!$I:$I,Salidas_REM!$D:$D,A423,Salidas_REM!$F:$F,C423,Salidas_REM!$B:$B,$B$1,Salidas_REM!$C:$C,"Realizada")</f>
        <v>0</v>
      </c>
    </row>
    <row r="424" customFormat="false" ht="15" hidden="false" customHeight="false" outlineLevel="0" collapsed="false">
      <c r="A424" s="5" t="s">
        <v>109</v>
      </c>
      <c r="B424" s="5" t="s">
        <v>90</v>
      </c>
      <c r="C424" s="5" t="s">
        <v>623</v>
      </c>
      <c r="D424" s="5" t="s">
        <v>613</v>
      </c>
      <c r="E424" s="5" t="s">
        <v>540</v>
      </c>
      <c r="F424" s="10" t="n">
        <f aca="false">SUMIFS(Salidas_REM!$I:$I,Salidas_REM!$D:$D,A424,Salidas_REM!$F:$F,C424,Salidas_REM!$B:$B,$B$1,Salidas_REM!$C:$C,"Realizada")</f>
        <v>0</v>
      </c>
    </row>
    <row r="425" customFormat="false" ht="15" hidden="false" customHeight="false" outlineLevel="0" collapsed="false">
      <c r="A425" s="5" t="s">
        <v>109</v>
      </c>
      <c r="B425" s="5" t="s">
        <v>90</v>
      </c>
      <c r="C425" s="5" t="s">
        <v>624</v>
      </c>
      <c r="D425" s="5" t="s">
        <v>613</v>
      </c>
      <c r="E425" s="5" t="s">
        <v>114</v>
      </c>
      <c r="F425" s="10" t="n">
        <f aca="false">SUMIFS(Salidas_REM!$I:$I,Salidas_REM!$D:$D,A425,Salidas_REM!$F:$F,C425,Salidas_REM!$B:$B,$B$1,Salidas_REM!$C:$C,"Realizada")</f>
        <v>0</v>
      </c>
    </row>
    <row r="426" customFormat="false" ht="15" hidden="false" customHeight="false" outlineLevel="0" collapsed="false">
      <c r="A426" s="5" t="s">
        <v>109</v>
      </c>
      <c r="B426" s="5" t="s">
        <v>90</v>
      </c>
      <c r="C426" s="5" t="s">
        <v>625</v>
      </c>
      <c r="D426" s="5" t="s">
        <v>613</v>
      </c>
      <c r="E426" s="5" t="s">
        <v>116</v>
      </c>
      <c r="F426" s="10" t="n">
        <f aca="false">SUMIFS(Salidas_REM!$I:$I,Salidas_REM!$D:$D,A426,Salidas_REM!$F:$F,C426,Salidas_REM!$B:$B,$B$1,Salidas_REM!$C:$C,"Realizada")</f>
        <v>0</v>
      </c>
    </row>
    <row r="427" customFormat="false" ht="15" hidden="false" customHeight="false" outlineLevel="0" collapsed="false">
      <c r="A427" s="5" t="s">
        <v>109</v>
      </c>
      <c r="B427" s="5" t="s">
        <v>90</v>
      </c>
      <c r="C427" s="5" t="s">
        <v>626</v>
      </c>
      <c r="D427" s="5" t="s">
        <v>613</v>
      </c>
      <c r="E427" s="5" t="s">
        <v>544</v>
      </c>
      <c r="F427" s="10" t="n">
        <f aca="false">SUMIFS(Salidas_REM!$I:$I,Salidas_REM!$D:$D,A427,Salidas_REM!$F:$F,C427,Salidas_REM!$B:$B,$B$1,Salidas_REM!$C:$C,"Realizada")</f>
        <v>0</v>
      </c>
    </row>
    <row r="428" customFormat="false" ht="15" hidden="false" customHeight="false" outlineLevel="0" collapsed="false">
      <c r="A428" s="5" t="s">
        <v>109</v>
      </c>
      <c r="B428" s="5" t="s">
        <v>90</v>
      </c>
      <c r="C428" s="5" t="s">
        <v>627</v>
      </c>
      <c r="D428" s="5" t="s">
        <v>613</v>
      </c>
      <c r="E428" s="5" t="s">
        <v>546</v>
      </c>
      <c r="F428" s="10" t="n">
        <f aca="false">SUMIFS(Salidas_REM!$I:$I,Salidas_REM!$D:$D,A428,Salidas_REM!$F:$F,C428,Salidas_REM!$B:$B,$B$1,Salidas_REM!$C:$C,"Realizada")</f>
        <v>0</v>
      </c>
    </row>
    <row r="429" customFormat="false" ht="15" hidden="false" customHeight="false" outlineLevel="0" collapsed="false">
      <c r="A429" s="5" t="s">
        <v>109</v>
      </c>
      <c r="B429" s="5" t="s">
        <v>90</v>
      </c>
      <c r="C429" s="5" t="s">
        <v>628</v>
      </c>
      <c r="D429" s="5" t="s">
        <v>613</v>
      </c>
      <c r="E429" s="5" t="s">
        <v>548</v>
      </c>
      <c r="F429" s="10" t="n">
        <f aca="false">SUMIFS(Salidas_REM!$I:$I,Salidas_REM!$D:$D,A429,Salidas_REM!$F:$F,C429,Salidas_REM!$B:$B,$B$1,Salidas_REM!$C:$C,"Realizada")</f>
        <v>0</v>
      </c>
    </row>
    <row r="430" customFormat="false" ht="15" hidden="false" customHeight="false" outlineLevel="0" collapsed="false">
      <c r="A430" s="5" t="s">
        <v>109</v>
      </c>
      <c r="B430" s="5" t="s">
        <v>90</v>
      </c>
      <c r="C430" s="5" t="s">
        <v>629</v>
      </c>
      <c r="D430" s="5" t="s">
        <v>613</v>
      </c>
      <c r="E430" s="5" t="s">
        <v>550</v>
      </c>
      <c r="F430" s="10" t="n">
        <f aca="false">SUMIFS(Salidas_REM!$I:$I,Salidas_REM!$D:$D,A430,Salidas_REM!$F:$F,C430,Salidas_REM!$B:$B,$B$1,Salidas_REM!$C:$C,"Realizada")</f>
        <v>0</v>
      </c>
    </row>
    <row r="431" customFormat="false" ht="15" hidden="false" customHeight="false" outlineLevel="0" collapsed="false">
      <c r="A431" s="5" t="s">
        <v>109</v>
      </c>
      <c r="B431" s="5" t="s">
        <v>90</v>
      </c>
      <c r="C431" s="5" t="s">
        <v>630</v>
      </c>
      <c r="D431" s="5" t="s">
        <v>613</v>
      </c>
      <c r="E431" s="5" t="s">
        <v>118</v>
      </c>
      <c r="F431" s="10" t="n">
        <f aca="false">SUMIFS(Salidas_REM!$I:$I,Salidas_REM!$D:$D,A431,Salidas_REM!$F:$F,C431,Salidas_REM!$B:$B,$B$1,Salidas_REM!$C:$C,"Realizada")</f>
        <v>0</v>
      </c>
    </row>
    <row r="432" customFormat="false" ht="15" hidden="false" customHeight="false" outlineLevel="0" collapsed="false">
      <c r="A432" s="5" t="s">
        <v>109</v>
      </c>
      <c r="B432" s="5" t="s">
        <v>90</v>
      </c>
      <c r="C432" s="5" t="s">
        <v>631</v>
      </c>
      <c r="D432" s="5" t="s">
        <v>613</v>
      </c>
      <c r="E432" s="5" t="s">
        <v>120</v>
      </c>
      <c r="F432" s="10" t="n">
        <f aca="false">SUMIFS(Salidas_REM!$I:$I,Salidas_REM!$D:$D,A432,Salidas_REM!$F:$F,C432,Salidas_REM!$B:$B,$B$1,Salidas_REM!$C:$C,"Realizada")</f>
        <v>0</v>
      </c>
    </row>
    <row r="433" customFormat="false" ht="15" hidden="false" customHeight="false" outlineLevel="0" collapsed="false">
      <c r="A433" s="5" t="s">
        <v>109</v>
      </c>
      <c r="B433" s="5" t="s">
        <v>90</v>
      </c>
      <c r="C433" s="5" t="s">
        <v>632</v>
      </c>
      <c r="D433" s="5" t="s">
        <v>613</v>
      </c>
      <c r="E433" s="5" t="s">
        <v>554</v>
      </c>
      <c r="F433" s="10" t="n">
        <f aca="false">SUMIFS(Salidas_REM!$I:$I,Salidas_REM!$D:$D,A433,Salidas_REM!$F:$F,C433,Salidas_REM!$B:$B,$B$1,Salidas_REM!$C:$C,"Realizada")</f>
        <v>0</v>
      </c>
    </row>
    <row r="434" customFormat="false" ht="15" hidden="false" customHeight="false" outlineLevel="0" collapsed="false">
      <c r="A434" s="5" t="s">
        <v>109</v>
      </c>
      <c r="B434" s="5" t="s">
        <v>90</v>
      </c>
      <c r="C434" s="5" t="s">
        <v>633</v>
      </c>
      <c r="D434" s="5" t="s">
        <v>122</v>
      </c>
      <c r="E434" s="5" t="s">
        <v>522</v>
      </c>
      <c r="F434" s="10" t="n">
        <f aca="false">SUMIFS(Salidas_REM!$I:$I,Salidas_REM!$D:$D,A434,Salidas_REM!$F:$F,C434,Salidas_REM!$B:$B,$B$1,Salidas_REM!$C:$C,"Realizada")</f>
        <v>0</v>
      </c>
    </row>
    <row r="435" customFormat="false" ht="15" hidden="false" customHeight="false" outlineLevel="0" collapsed="false">
      <c r="A435" s="5" t="s">
        <v>109</v>
      </c>
      <c r="B435" s="5" t="s">
        <v>90</v>
      </c>
      <c r="C435" s="5" t="s">
        <v>634</v>
      </c>
      <c r="D435" s="5" t="s">
        <v>122</v>
      </c>
      <c r="E435" s="5" t="s">
        <v>524</v>
      </c>
      <c r="F435" s="10" t="n">
        <f aca="false">SUMIFS(Salidas_REM!$I:$I,Salidas_REM!$D:$D,A435,Salidas_REM!$F:$F,C435,Salidas_REM!$B:$B,$B$1,Salidas_REM!$C:$C,"Realizada")</f>
        <v>0</v>
      </c>
    </row>
    <row r="436" customFormat="false" ht="15" hidden="false" customHeight="false" outlineLevel="0" collapsed="false">
      <c r="A436" s="5" t="s">
        <v>109</v>
      </c>
      <c r="B436" s="5" t="s">
        <v>90</v>
      </c>
      <c r="C436" s="5" t="s">
        <v>635</v>
      </c>
      <c r="D436" s="5" t="s">
        <v>122</v>
      </c>
      <c r="E436" s="5" t="s">
        <v>526</v>
      </c>
      <c r="F436" s="10" t="n">
        <f aca="false">SUMIFS(Salidas_REM!$I:$I,Salidas_REM!$D:$D,A436,Salidas_REM!$F:$F,C436,Salidas_REM!$B:$B,$B$1,Salidas_REM!$C:$C,"Realizada")</f>
        <v>0</v>
      </c>
    </row>
    <row r="437" customFormat="false" ht="15" hidden="false" customHeight="false" outlineLevel="0" collapsed="false">
      <c r="A437" s="5" t="s">
        <v>109</v>
      </c>
      <c r="B437" s="5" t="s">
        <v>90</v>
      </c>
      <c r="C437" s="5" t="s">
        <v>636</v>
      </c>
      <c r="D437" s="5" t="s">
        <v>122</v>
      </c>
      <c r="E437" s="5" t="s">
        <v>528</v>
      </c>
      <c r="F437" s="10" t="n">
        <f aca="false">SUMIFS(Salidas_REM!$I:$I,Salidas_REM!$D:$D,A437,Salidas_REM!$F:$F,C437,Salidas_REM!$B:$B,$B$1,Salidas_REM!$C:$C,"Realizada")</f>
        <v>0</v>
      </c>
    </row>
    <row r="438" customFormat="false" ht="15" hidden="false" customHeight="false" outlineLevel="0" collapsed="false">
      <c r="A438" s="5" t="s">
        <v>109</v>
      </c>
      <c r="B438" s="5" t="s">
        <v>90</v>
      </c>
      <c r="C438" s="5" t="s">
        <v>637</v>
      </c>
      <c r="D438" s="5" t="s">
        <v>122</v>
      </c>
      <c r="E438" s="5" t="s">
        <v>530</v>
      </c>
      <c r="F438" s="10" t="n">
        <f aca="false">SUMIFS(Salidas_REM!$I:$I,Salidas_REM!$D:$D,A438,Salidas_REM!$F:$F,C438,Salidas_REM!$B:$B,$B$1,Salidas_REM!$C:$C,"Realizada")</f>
        <v>0</v>
      </c>
    </row>
    <row r="439" customFormat="false" ht="15" hidden="false" customHeight="false" outlineLevel="0" collapsed="false">
      <c r="A439" s="5" t="s">
        <v>109</v>
      </c>
      <c r="B439" s="5" t="s">
        <v>90</v>
      </c>
      <c r="C439" s="5" t="s">
        <v>638</v>
      </c>
      <c r="D439" s="5" t="s">
        <v>122</v>
      </c>
      <c r="E439" s="5" t="s">
        <v>112</v>
      </c>
      <c r="F439" s="10" t="n">
        <f aca="false">SUMIFS(Salidas_REM!$I:$I,Salidas_REM!$D:$D,A439,Salidas_REM!$F:$F,C439,Salidas_REM!$B:$B,$B$1,Salidas_REM!$C:$C,"Realizada")</f>
        <v>0</v>
      </c>
    </row>
    <row r="440" customFormat="false" ht="15" hidden="false" customHeight="false" outlineLevel="0" collapsed="false">
      <c r="A440" s="5" t="s">
        <v>109</v>
      </c>
      <c r="B440" s="5" t="s">
        <v>90</v>
      </c>
      <c r="C440" s="5" t="s">
        <v>639</v>
      </c>
      <c r="D440" s="5" t="s">
        <v>122</v>
      </c>
      <c r="E440" s="5" t="s">
        <v>533</v>
      </c>
      <c r="F440" s="10" t="n">
        <f aca="false">SUMIFS(Salidas_REM!$I:$I,Salidas_REM!$D:$D,A440,Salidas_REM!$F:$F,C440,Salidas_REM!$B:$B,$B$1,Salidas_REM!$C:$C,"Realizada")</f>
        <v>0</v>
      </c>
    </row>
    <row r="441" customFormat="false" ht="15" hidden="false" customHeight="false" outlineLevel="0" collapsed="false">
      <c r="A441" s="5" t="s">
        <v>109</v>
      </c>
      <c r="B441" s="5" t="s">
        <v>90</v>
      </c>
      <c r="C441" s="5" t="s">
        <v>121</v>
      </c>
      <c r="D441" s="5" t="s">
        <v>122</v>
      </c>
      <c r="E441" s="5" t="s">
        <v>123</v>
      </c>
      <c r="F441" s="10" t="n">
        <f aca="false">SUMIFS(Salidas_REM!$I:$I,Salidas_REM!$D:$D,A441,Salidas_REM!$F:$F,C441,Salidas_REM!$B:$B,$B$1,Salidas_REM!$C:$C,"Realizada")</f>
        <v>1</v>
      </c>
    </row>
    <row r="442" customFormat="false" ht="15" hidden="false" customHeight="false" outlineLevel="0" collapsed="false">
      <c r="A442" s="5" t="s">
        <v>109</v>
      </c>
      <c r="B442" s="5" t="s">
        <v>90</v>
      </c>
      <c r="C442" s="5" t="s">
        <v>640</v>
      </c>
      <c r="D442" s="5" t="s">
        <v>122</v>
      </c>
      <c r="E442" s="5" t="s">
        <v>536</v>
      </c>
      <c r="F442" s="10" t="n">
        <f aca="false">SUMIFS(Salidas_REM!$I:$I,Salidas_REM!$D:$D,A442,Salidas_REM!$F:$F,C442,Salidas_REM!$B:$B,$B$1,Salidas_REM!$C:$C,"Realizada")</f>
        <v>0</v>
      </c>
    </row>
    <row r="443" customFormat="false" ht="15" hidden="false" customHeight="false" outlineLevel="0" collapsed="false">
      <c r="A443" s="5" t="s">
        <v>109</v>
      </c>
      <c r="B443" s="5" t="s">
        <v>90</v>
      </c>
      <c r="C443" s="5" t="s">
        <v>641</v>
      </c>
      <c r="D443" s="5" t="s">
        <v>122</v>
      </c>
      <c r="E443" s="5" t="s">
        <v>538</v>
      </c>
      <c r="F443" s="10" t="n">
        <f aca="false">SUMIFS(Salidas_REM!$I:$I,Salidas_REM!$D:$D,A443,Salidas_REM!$F:$F,C443,Salidas_REM!$B:$B,$B$1,Salidas_REM!$C:$C,"Realizada")</f>
        <v>0</v>
      </c>
    </row>
    <row r="444" customFormat="false" ht="15" hidden="false" customHeight="false" outlineLevel="0" collapsed="false">
      <c r="A444" s="5" t="s">
        <v>109</v>
      </c>
      <c r="B444" s="5" t="s">
        <v>90</v>
      </c>
      <c r="C444" s="5" t="s">
        <v>642</v>
      </c>
      <c r="D444" s="5" t="s">
        <v>122</v>
      </c>
      <c r="E444" s="5" t="s">
        <v>540</v>
      </c>
      <c r="F444" s="10" t="n">
        <f aca="false">SUMIFS(Salidas_REM!$I:$I,Salidas_REM!$D:$D,A444,Salidas_REM!$F:$F,C444,Salidas_REM!$B:$B,$B$1,Salidas_REM!$C:$C,"Realizada")</f>
        <v>0</v>
      </c>
    </row>
    <row r="445" customFormat="false" ht="15" hidden="false" customHeight="false" outlineLevel="0" collapsed="false">
      <c r="A445" s="5" t="s">
        <v>109</v>
      </c>
      <c r="B445" s="5" t="s">
        <v>90</v>
      </c>
      <c r="C445" s="5" t="s">
        <v>124</v>
      </c>
      <c r="D445" s="5" t="s">
        <v>122</v>
      </c>
      <c r="E445" s="5" t="s">
        <v>114</v>
      </c>
      <c r="F445" s="10" t="n">
        <f aca="false">SUMIFS(Salidas_REM!$I:$I,Salidas_REM!$D:$D,A445,Salidas_REM!$F:$F,C445,Salidas_REM!$B:$B,$B$1,Salidas_REM!$C:$C,"Realizada")</f>
        <v>12</v>
      </c>
    </row>
    <row r="446" customFormat="false" ht="15" hidden="false" customHeight="false" outlineLevel="0" collapsed="false">
      <c r="A446" s="5" t="s">
        <v>109</v>
      </c>
      <c r="B446" s="5" t="s">
        <v>90</v>
      </c>
      <c r="C446" s="5" t="s">
        <v>125</v>
      </c>
      <c r="D446" s="5" t="s">
        <v>122</v>
      </c>
      <c r="E446" s="5" t="s">
        <v>116</v>
      </c>
      <c r="F446" s="10" t="n">
        <f aca="false">SUMIFS(Salidas_REM!$I:$I,Salidas_REM!$D:$D,A446,Salidas_REM!$F:$F,C446,Salidas_REM!$B:$B,$B$1,Salidas_REM!$C:$C,"Realizada")</f>
        <v>19</v>
      </c>
    </row>
    <row r="447" customFormat="false" ht="15" hidden="false" customHeight="false" outlineLevel="0" collapsed="false">
      <c r="A447" s="5" t="s">
        <v>109</v>
      </c>
      <c r="B447" s="5" t="s">
        <v>90</v>
      </c>
      <c r="C447" s="5" t="s">
        <v>643</v>
      </c>
      <c r="D447" s="5" t="s">
        <v>122</v>
      </c>
      <c r="E447" s="5" t="s">
        <v>544</v>
      </c>
      <c r="F447" s="10" t="n">
        <f aca="false">SUMIFS(Salidas_REM!$I:$I,Salidas_REM!$D:$D,A447,Salidas_REM!$F:$F,C447,Salidas_REM!$B:$B,$B$1,Salidas_REM!$C:$C,"Realizada")</f>
        <v>0</v>
      </c>
    </row>
    <row r="448" customFormat="false" ht="15" hidden="false" customHeight="false" outlineLevel="0" collapsed="false">
      <c r="A448" s="5" t="s">
        <v>109</v>
      </c>
      <c r="B448" s="5" t="s">
        <v>90</v>
      </c>
      <c r="C448" s="5" t="s">
        <v>644</v>
      </c>
      <c r="D448" s="5" t="s">
        <v>122</v>
      </c>
      <c r="E448" s="5" t="s">
        <v>546</v>
      </c>
      <c r="F448" s="10" t="n">
        <f aca="false">SUMIFS(Salidas_REM!$I:$I,Salidas_REM!$D:$D,A448,Salidas_REM!$F:$F,C448,Salidas_REM!$B:$B,$B$1,Salidas_REM!$C:$C,"Realizada")</f>
        <v>0</v>
      </c>
    </row>
    <row r="449" customFormat="false" ht="15" hidden="false" customHeight="false" outlineLevel="0" collapsed="false">
      <c r="A449" s="5" t="s">
        <v>109</v>
      </c>
      <c r="B449" s="5" t="s">
        <v>90</v>
      </c>
      <c r="C449" s="5" t="s">
        <v>645</v>
      </c>
      <c r="D449" s="5" t="s">
        <v>122</v>
      </c>
      <c r="E449" s="5" t="s">
        <v>548</v>
      </c>
      <c r="F449" s="10" t="n">
        <f aca="false">SUMIFS(Salidas_REM!$I:$I,Salidas_REM!$D:$D,A449,Salidas_REM!$F:$F,C449,Salidas_REM!$B:$B,$B$1,Salidas_REM!$C:$C,"Realizada")</f>
        <v>0</v>
      </c>
    </row>
    <row r="450" customFormat="false" ht="15" hidden="false" customHeight="false" outlineLevel="0" collapsed="false">
      <c r="A450" s="5" t="s">
        <v>109</v>
      </c>
      <c r="B450" s="5" t="s">
        <v>90</v>
      </c>
      <c r="C450" s="5" t="s">
        <v>646</v>
      </c>
      <c r="D450" s="5" t="s">
        <v>122</v>
      </c>
      <c r="E450" s="5" t="s">
        <v>550</v>
      </c>
      <c r="F450" s="10" t="n">
        <f aca="false">SUMIFS(Salidas_REM!$I:$I,Salidas_REM!$D:$D,A450,Salidas_REM!$F:$F,C450,Salidas_REM!$B:$B,$B$1,Salidas_REM!$C:$C,"Realizada")</f>
        <v>0</v>
      </c>
    </row>
    <row r="451" customFormat="false" ht="15" hidden="false" customHeight="false" outlineLevel="0" collapsed="false">
      <c r="A451" s="5" t="s">
        <v>109</v>
      </c>
      <c r="B451" s="5" t="s">
        <v>90</v>
      </c>
      <c r="C451" s="5" t="s">
        <v>126</v>
      </c>
      <c r="D451" s="5" t="s">
        <v>122</v>
      </c>
      <c r="E451" s="5" t="s">
        <v>118</v>
      </c>
      <c r="F451" s="10" t="n">
        <f aca="false">SUMIFS(Salidas_REM!$I:$I,Salidas_REM!$D:$D,A451,Salidas_REM!$F:$F,C451,Salidas_REM!$B:$B,$B$1,Salidas_REM!$C:$C,"Realizada")</f>
        <v>27</v>
      </c>
    </row>
    <row r="452" customFormat="false" ht="15" hidden="false" customHeight="false" outlineLevel="0" collapsed="false">
      <c r="A452" s="5" t="s">
        <v>109</v>
      </c>
      <c r="B452" s="5" t="s">
        <v>90</v>
      </c>
      <c r="C452" s="5" t="s">
        <v>127</v>
      </c>
      <c r="D452" s="5" t="s">
        <v>122</v>
      </c>
      <c r="E452" s="5" t="s">
        <v>120</v>
      </c>
      <c r="F452" s="10" t="n">
        <f aca="false">SUMIFS(Salidas_REM!$I:$I,Salidas_REM!$D:$D,A452,Salidas_REM!$F:$F,C452,Salidas_REM!$B:$B,$B$1,Salidas_REM!$C:$C,"Realizada")</f>
        <v>3</v>
      </c>
    </row>
    <row r="453" customFormat="false" ht="15" hidden="false" customHeight="false" outlineLevel="0" collapsed="false">
      <c r="A453" s="5" t="s">
        <v>109</v>
      </c>
      <c r="B453" s="5" t="s">
        <v>90</v>
      </c>
      <c r="C453" s="5" t="s">
        <v>647</v>
      </c>
      <c r="D453" s="5" t="s">
        <v>122</v>
      </c>
      <c r="E453" s="5" t="s">
        <v>554</v>
      </c>
      <c r="F453" s="10" t="n">
        <f aca="false">SUMIFS(Salidas_REM!$I:$I,Salidas_REM!$D:$D,A453,Salidas_REM!$F:$F,C453,Salidas_REM!$B:$B,$B$1,Salidas_REM!$C:$C,"Realizada")</f>
        <v>0</v>
      </c>
    </row>
    <row r="454" customFormat="false" ht="15" hidden="false" customHeight="false" outlineLevel="0" collapsed="false">
      <c r="A454" s="5" t="s">
        <v>109</v>
      </c>
      <c r="B454" s="5" t="s">
        <v>90</v>
      </c>
      <c r="C454" s="5" t="s">
        <v>648</v>
      </c>
      <c r="D454" s="5" t="s">
        <v>649</v>
      </c>
      <c r="E454" s="5" t="s">
        <v>522</v>
      </c>
      <c r="F454" s="10" t="n">
        <f aca="false">SUMIFS(Salidas_REM!$I:$I,Salidas_REM!$D:$D,A454,Salidas_REM!$F:$F,C454,Salidas_REM!$B:$B,$B$1,Salidas_REM!$C:$C,"Realizada")</f>
        <v>0</v>
      </c>
    </row>
    <row r="455" customFormat="false" ht="15" hidden="false" customHeight="false" outlineLevel="0" collapsed="false">
      <c r="A455" s="5" t="s">
        <v>109</v>
      </c>
      <c r="B455" s="5" t="s">
        <v>90</v>
      </c>
      <c r="C455" s="5" t="s">
        <v>650</v>
      </c>
      <c r="D455" s="5" t="s">
        <v>649</v>
      </c>
      <c r="E455" s="5" t="s">
        <v>524</v>
      </c>
      <c r="F455" s="10" t="n">
        <f aca="false">SUMIFS(Salidas_REM!$I:$I,Salidas_REM!$D:$D,A455,Salidas_REM!$F:$F,C455,Salidas_REM!$B:$B,$B$1,Salidas_REM!$C:$C,"Realizada")</f>
        <v>0</v>
      </c>
    </row>
    <row r="456" customFormat="false" ht="15" hidden="false" customHeight="false" outlineLevel="0" collapsed="false">
      <c r="A456" s="5" t="s">
        <v>109</v>
      </c>
      <c r="B456" s="5" t="s">
        <v>90</v>
      </c>
      <c r="C456" s="5" t="s">
        <v>651</v>
      </c>
      <c r="D456" s="5" t="s">
        <v>649</v>
      </c>
      <c r="E456" s="5" t="s">
        <v>526</v>
      </c>
      <c r="F456" s="10" t="n">
        <f aca="false">SUMIFS(Salidas_REM!$I:$I,Salidas_REM!$D:$D,A456,Salidas_REM!$F:$F,C456,Salidas_REM!$B:$B,$B$1,Salidas_REM!$C:$C,"Realizada")</f>
        <v>0</v>
      </c>
    </row>
    <row r="457" customFormat="false" ht="15" hidden="false" customHeight="false" outlineLevel="0" collapsed="false">
      <c r="A457" s="5" t="s">
        <v>109</v>
      </c>
      <c r="B457" s="5" t="s">
        <v>90</v>
      </c>
      <c r="C457" s="5" t="s">
        <v>652</v>
      </c>
      <c r="D457" s="5" t="s">
        <v>649</v>
      </c>
      <c r="E457" s="5" t="s">
        <v>528</v>
      </c>
      <c r="F457" s="10" t="n">
        <f aca="false">SUMIFS(Salidas_REM!$I:$I,Salidas_REM!$D:$D,A457,Salidas_REM!$F:$F,C457,Salidas_REM!$B:$B,$B$1,Salidas_REM!$C:$C,"Realizada")</f>
        <v>0</v>
      </c>
    </row>
    <row r="458" customFormat="false" ht="15" hidden="false" customHeight="false" outlineLevel="0" collapsed="false">
      <c r="A458" s="5" t="s">
        <v>109</v>
      </c>
      <c r="B458" s="5" t="s">
        <v>90</v>
      </c>
      <c r="C458" s="5" t="s">
        <v>653</v>
      </c>
      <c r="D458" s="5" t="s">
        <v>649</v>
      </c>
      <c r="E458" s="5" t="s">
        <v>530</v>
      </c>
      <c r="F458" s="10" t="n">
        <f aca="false">SUMIFS(Salidas_REM!$I:$I,Salidas_REM!$D:$D,A458,Salidas_REM!$F:$F,C458,Salidas_REM!$B:$B,$B$1,Salidas_REM!$C:$C,"Realizada")</f>
        <v>0</v>
      </c>
    </row>
    <row r="459" customFormat="false" ht="15" hidden="false" customHeight="false" outlineLevel="0" collapsed="false">
      <c r="A459" s="5" t="s">
        <v>109</v>
      </c>
      <c r="B459" s="5" t="s">
        <v>90</v>
      </c>
      <c r="C459" s="5" t="s">
        <v>654</v>
      </c>
      <c r="D459" s="5" t="s">
        <v>649</v>
      </c>
      <c r="E459" s="5" t="s">
        <v>112</v>
      </c>
      <c r="F459" s="10" t="n">
        <f aca="false">SUMIFS(Salidas_REM!$I:$I,Salidas_REM!$D:$D,A459,Salidas_REM!$F:$F,C459,Salidas_REM!$B:$B,$B$1,Salidas_REM!$C:$C,"Realizada")</f>
        <v>0</v>
      </c>
    </row>
    <row r="460" customFormat="false" ht="15" hidden="false" customHeight="false" outlineLevel="0" collapsed="false">
      <c r="A460" s="5" t="s">
        <v>109</v>
      </c>
      <c r="B460" s="5" t="s">
        <v>90</v>
      </c>
      <c r="C460" s="5" t="s">
        <v>655</v>
      </c>
      <c r="D460" s="5" t="s">
        <v>649</v>
      </c>
      <c r="E460" s="5" t="s">
        <v>533</v>
      </c>
      <c r="F460" s="10" t="n">
        <f aca="false">SUMIFS(Salidas_REM!$I:$I,Salidas_REM!$D:$D,A460,Salidas_REM!$F:$F,C460,Salidas_REM!$B:$B,$B$1,Salidas_REM!$C:$C,"Realizada")</f>
        <v>0</v>
      </c>
    </row>
    <row r="461" customFormat="false" ht="15" hidden="false" customHeight="false" outlineLevel="0" collapsed="false">
      <c r="A461" s="5" t="s">
        <v>109</v>
      </c>
      <c r="B461" s="5" t="s">
        <v>90</v>
      </c>
      <c r="C461" s="5" t="s">
        <v>656</v>
      </c>
      <c r="D461" s="5" t="s">
        <v>649</v>
      </c>
      <c r="E461" s="5" t="s">
        <v>123</v>
      </c>
      <c r="F461" s="10" t="n">
        <f aca="false">SUMIFS(Salidas_REM!$I:$I,Salidas_REM!$D:$D,A461,Salidas_REM!$F:$F,C461,Salidas_REM!$B:$B,$B$1,Salidas_REM!$C:$C,"Realizada")</f>
        <v>0</v>
      </c>
    </row>
    <row r="462" customFormat="false" ht="15" hidden="false" customHeight="false" outlineLevel="0" collapsed="false">
      <c r="A462" s="5" t="s">
        <v>109</v>
      </c>
      <c r="B462" s="5" t="s">
        <v>90</v>
      </c>
      <c r="C462" s="5" t="s">
        <v>657</v>
      </c>
      <c r="D462" s="5" t="s">
        <v>649</v>
      </c>
      <c r="E462" s="5" t="s">
        <v>536</v>
      </c>
      <c r="F462" s="10" t="n">
        <f aca="false">SUMIFS(Salidas_REM!$I:$I,Salidas_REM!$D:$D,A462,Salidas_REM!$F:$F,C462,Salidas_REM!$B:$B,$B$1,Salidas_REM!$C:$C,"Realizada")</f>
        <v>0</v>
      </c>
    </row>
    <row r="463" customFormat="false" ht="15" hidden="false" customHeight="false" outlineLevel="0" collapsed="false">
      <c r="A463" s="5" t="s">
        <v>109</v>
      </c>
      <c r="B463" s="5" t="s">
        <v>90</v>
      </c>
      <c r="C463" s="5" t="s">
        <v>658</v>
      </c>
      <c r="D463" s="5" t="s">
        <v>649</v>
      </c>
      <c r="E463" s="5" t="s">
        <v>538</v>
      </c>
      <c r="F463" s="10" t="n">
        <f aca="false">SUMIFS(Salidas_REM!$I:$I,Salidas_REM!$D:$D,A463,Salidas_REM!$F:$F,C463,Salidas_REM!$B:$B,$B$1,Salidas_REM!$C:$C,"Realizada")</f>
        <v>0</v>
      </c>
    </row>
    <row r="464" customFormat="false" ht="15" hidden="false" customHeight="false" outlineLevel="0" collapsed="false">
      <c r="A464" s="5" t="s">
        <v>109</v>
      </c>
      <c r="B464" s="5" t="s">
        <v>90</v>
      </c>
      <c r="C464" s="5" t="s">
        <v>659</v>
      </c>
      <c r="D464" s="5" t="s">
        <v>649</v>
      </c>
      <c r="E464" s="5" t="s">
        <v>540</v>
      </c>
      <c r="F464" s="10" t="n">
        <f aca="false">SUMIFS(Salidas_REM!$I:$I,Salidas_REM!$D:$D,A464,Salidas_REM!$F:$F,C464,Salidas_REM!$B:$B,$B$1,Salidas_REM!$C:$C,"Realizada")</f>
        <v>0</v>
      </c>
    </row>
    <row r="465" customFormat="false" ht="15" hidden="false" customHeight="false" outlineLevel="0" collapsed="false">
      <c r="A465" s="5" t="s">
        <v>109</v>
      </c>
      <c r="B465" s="5" t="s">
        <v>90</v>
      </c>
      <c r="C465" s="5" t="s">
        <v>660</v>
      </c>
      <c r="D465" s="5" t="s">
        <v>649</v>
      </c>
      <c r="E465" s="5" t="s">
        <v>114</v>
      </c>
      <c r="F465" s="10" t="n">
        <f aca="false">SUMIFS(Salidas_REM!$I:$I,Salidas_REM!$D:$D,A465,Salidas_REM!$F:$F,C465,Salidas_REM!$B:$B,$B$1,Salidas_REM!$C:$C,"Realizada")</f>
        <v>0</v>
      </c>
    </row>
    <row r="466" customFormat="false" ht="15" hidden="false" customHeight="false" outlineLevel="0" collapsed="false">
      <c r="A466" s="5" t="s">
        <v>109</v>
      </c>
      <c r="B466" s="5" t="s">
        <v>90</v>
      </c>
      <c r="C466" s="5" t="s">
        <v>661</v>
      </c>
      <c r="D466" s="5" t="s">
        <v>649</v>
      </c>
      <c r="E466" s="5" t="s">
        <v>116</v>
      </c>
      <c r="F466" s="10" t="n">
        <f aca="false">SUMIFS(Salidas_REM!$I:$I,Salidas_REM!$D:$D,A466,Salidas_REM!$F:$F,C466,Salidas_REM!$B:$B,$B$1,Salidas_REM!$C:$C,"Realizada")</f>
        <v>0</v>
      </c>
    </row>
    <row r="467" customFormat="false" ht="15" hidden="false" customHeight="false" outlineLevel="0" collapsed="false">
      <c r="A467" s="5" t="s">
        <v>109</v>
      </c>
      <c r="B467" s="5" t="s">
        <v>90</v>
      </c>
      <c r="C467" s="5" t="s">
        <v>662</v>
      </c>
      <c r="D467" s="5" t="s">
        <v>649</v>
      </c>
      <c r="E467" s="5" t="s">
        <v>544</v>
      </c>
      <c r="F467" s="10" t="n">
        <f aca="false">SUMIFS(Salidas_REM!$I:$I,Salidas_REM!$D:$D,A467,Salidas_REM!$F:$F,C467,Salidas_REM!$B:$B,$B$1,Salidas_REM!$C:$C,"Realizada")</f>
        <v>0</v>
      </c>
    </row>
    <row r="468" customFormat="false" ht="15" hidden="false" customHeight="false" outlineLevel="0" collapsed="false">
      <c r="A468" s="5" t="s">
        <v>109</v>
      </c>
      <c r="B468" s="5" t="s">
        <v>90</v>
      </c>
      <c r="C468" s="5" t="s">
        <v>663</v>
      </c>
      <c r="D468" s="5" t="s">
        <v>649</v>
      </c>
      <c r="E468" s="5" t="s">
        <v>546</v>
      </c>
      <c r="F468" s="10" t="n">
        <f aca="false">SUMIFS(Salidas_REM!$I:$I,Salidas_REM!$D:$D,A468,Salidas_REM!$F:$F,C468,Salidas_REM!$B:$B,$B$1,Salidas_REM!$C:$C,"Realizada")</f>
        <v>0</v>
      </c>
    </row>
    <row r="469" customFormat="false" ht="15" hidden="false" customHeight="false" outlineLevel="0" collapsed="false">
      <c r="A469" s="5" t="s">
        <v>109</v>
      </c>
      <c r="B469" s="5" t="s">
        <v>90</v>
      </c>
      <c r="C469" s="5" t="s">
        <v>664</v>
      </c>
      <c r="D469" s="5" t="s">
        <v>649</v>
      </c>
      <c r="E469" s="5" t="s">
        <v>548</v>
      </c>
      <c r="F469" s="10" t="n">
        <f aca="false">SUMIFS(Salidas_REM!$I:$I,Salidas_REM!$D:$D,A469,Salidas_REM!$F:$F,C469,Salidas_REM!$B:$B,$B$1,Salidas_REM!$C:$C,"Realizada")</f>
        <v>0</v>
      </c>
    </row>
    <row r="470" customFormat="false" ht="15" hidden="false" customHeight="false" outlineLevel="0" collapsed="false">
      <c r="A470" s="5" t="s">
        <v>109</v>
      </c>
      <c r="B470" s="5" t="s">
        <v>90</v>
      </c>
      <c r="C470" s="5" t="s">
        <v>665</v>
      </c>
      <c r="D470" s="5" t="s">
        <v>649</v>
      </c>
      <c r="E470" s="5" t="s">
        <v>550</v>
      </c>
      <c r="F470" s="10" t="n">
        <f aca="false">SUMIFS(Salidas_REM!$I:$I,Salidas_REM!$D:$D,A470,Salidas_REM!$F:$F,C470,Salidas_REM!$B:$B,$B$1,Salidas_REM!$C:$C,"Realizada")</f>
        <v>0</v>
      </c>
    </row>
    <row r="471" customFormat="false" ht="15" hidden="false" customHeight="false" outlineLevel="0" collapsed="false">
      <c r="A471" s="5" t="s">
        <v>109</v>
      </c>
      <c r="B471" s="5" t="s">
        <v>90</v>
      </c>
      <c r="C471" s="5" t="s">
        <v>666</v>
      </c>
      <c r="D471" s="5" t="s">
        <v>649</v>
      </c>
      <c r="E471" s="5" t="s">
        <v>118</v>
      </c>
      <c r="F471" s="10" t="n">
        <f aca="false">SUMIFS(Salidas_REM!$I:$I,Salidas_REM!$D:$D,A471,Salidas_REM!$F:$F,C471,Salidas_REM!$B:$B,$B$1,Salidas_REM!$C:$C,"Realizada")</f>
        <v>0</v>
      </c>
    </row>
    <row r="472" customFormat="false" ht="15" hidden="false" customHeight="false" outlineLevel="0" collapsed="false">
      <c r="A472" s="5" t="s">
        <v>109</v>
      </c>
      <c r="B472" s="5" t="s">
        <v>90</v>
      </c>
      <c r="C472" s="5" t="s">
        <v>667</v>
      </c>
      <c r="D472" s="5" t="s">
        <v>649</v>
      </c>
      <c r="E472" s="5" t="s">
        <v>120</v>
      </c>
      <c r="F472" s="10" t="n">
        <f aca="false">SUMIFS(Salidas_REM!$I:$I,Salidas_REM!$D:$D,A472,Salidas_REM!$F:$F,C472,Salidas_REM!$B:$B,$B$1,Salidas_REM!$C:$C,"Realizada")</f>
        <v>0</v>
      </c>
    </row>
    <row r="473" customFormat="false" ht="15" hidden="false" customHeight="false" outlineLevel="0" collapsed="false">
      <c r="A473" s="5" t="s">
        <v>109</v>
      </c>
      <c r="B473" s="5" t="s">
        <v>90</v>
      </c>
      <c r="C473" s="5" t="s">
        <v>668</v>
      </c>
      <c r="D473" s="5" t="s">
        <v>649</v>
      </c>
      <c r="E473" s="5" t="s">
        <v>554</v>
      </c>
      <c r="F473" s="10" t="n">
        <f aca="false">SUMIFS(Salidas_REM!$I:$I,Salidas_REM!$D:$D,A473,Salidas_REM!$F:$F,C473,Salidas_REM!$B:$B,$B$1,Salidas_REM!$C:$C,"Realizada")</f>
        <v>0</v>
      </c>
    </row>
    <row r="474" customFormat="false" ht="15" hidden="false" customHeight="false" outlineLevel="0" collapsed="false">
      <c r="A474" s="5" t="s">
        <v>109</v>
      </c>
      <c r="B474" s="5" t="s">
        <v>90</v>
      </c>
      <c r="C474" s="5" t="s">
        <v>669</v>
      </c>
      <c r="D474" s="5" t="s">
        <v>670</v>
      </c>
      <c r="E474" s="5" t="s">
        <v>522</v>
      </c>
      <c r="F474" s="10" t="n">
        <f aca="false">SUMIFS(Salidas_REM!$I:$I,Salidas_REM!$D:$D,A474,Salidas_REM!$F:$F,C474,Salidas_REM!$B:$B,$B$1,Salidas_REM!$C:$C,"Realizada")</f>
        <v>0</v>
      </c>
    </row>
    <row r="475" customFormat="false" ht="15" hidden="false" customHeight="false" outlineLevel="0" collapsed="false">
      <c r="A475" s="5" t="s">
        <v>109</v>
      </c>
      <c r="B475" s="5" t="s">
        <v>90</v>
      </c>
      <c r="C475" s="5" t="s">
        <v>671</v>
      </c>
      <c r="D475" s="5" t="s">
        <v>670</v>
      </c>
      <c r="E475" s="5" t="s">
        <v>524</v>
      </c>
      <c r="F475" s="10" t="n">
        <f aca="false">SUMIFS(Salidas_REM!$I:$I,Salidas_REM!$D:$D,A475,Salidas_REM!$F:$F,C475,Salidas_REM!$B:$B,$B$1,Salidas_REM!$C:$C,"Realizada")</f>
        <v>0</v>
      </c>
    </row>
    <row r="476" customFormat="false" ht="15" hidden="false" customHeight="false" outlineLevel="0" collapsed="false">
      <c r="A476" s="5" t="s">
        <v>109</v>
      </c>
      <c r="B476" s="5" t="s">
        <v>90</v>
      </c>
      <c r="C476" s="5" t="s">
        <v>672</v>
      </c>
      <c r="D476" s="5" t="s">
        <v>670</v>
      </c>
      <c r="E476" s="5" t="s">
        <v>526</v>
      </c>
      <c r="F476" s="10" t="n">
        <f aca="false">SUMIFS(Salidas_REM!$I:$I,Salidas_REM!$D:$D,A476,Salidas_REM!$F:$F,C476,Salidas_REM!$B:$B,$B$1,Salidas_REM!$C:$C,"Realizada")</f>
        <v>0</v>
      </c>
    </row>
    <row r="477" customFormat="false" ht="15" hidden="false" customHeight="false" outlineLevel="0" collapsed="false">
      <c r="A477" s="5" t="s">
        <v>109</v>
      </c>
      <c r="B477" s="5" t="s">
        <v>90</v>
      </c>
      <c r="C477" s="5" t="s">
        <v>673</v>
      </c>
      <c r="D477" s="5" t="s">
        <v>670</v>
      </c>
      <c r="E477" s="5" t="s">
        <v>528</v>
      </c>
      <c r="F477" s="10" t="n">
        <f aca="false">SUMIFS(Salidas_REM!$I:$I,Salidas_REM!$D:$D,A477,Salidas_REM!$F:$F,C477,Salidas_REM!$B:$B,$B$1,Salidas_REM!$C:$C,"Realizada")</f>
        <v>0</v>
      </c>
    </row>
    <row r="478" customFormat="false" ht="15" hidden="false" customHeight="false" outlineLevel="0" collapsed="false">
      <c r="A478" s="5" t="s">
        <v>109</v>
      </c>
      <c r="B478" s="5" t="s">
        <v>90</v>
      </c>
      <c r="C478" s="5" t="s">
        <v>674</v>
      </c>
      <c r="D478" s="5" t="s">
        <v>670</v>
      </c>
      <c r="E478" s="5" t="s">
        <v>530</v>
      </c>
      <c r="F478" s="10" t="n">
        <f aca="false">SUMIFS(Salidas_REM!$I:$I,Salidas_REM!$D:$D,A478,Salidas_REM!$F:$F,C478,Salidas_REM!$B:$B,$B$1,Salidas_REM!$C:$C,"Realizada")</f>
        <v>0</v>
      </c>
    </row>
    <row r="479" customFormat="false" ht="15" hidden="false" customHeight="false" outlineLevel="0" collapsed="false">
      <c r="A479" s="5" t="s">
        <v>109</v>
      </c>
      <c r="B479" s="5" t="s">
        <v>90</v>
      </c>
      <c r="C479" s="5" t="s">
        <v>675</v>
      </c>
      <c r="D479" s="5" t="s">
        <v>670</v>
      </c>
      <c r="E479" s="5" t="s">
        <v>112</v>
      </c>
      <c r="F479" s="10" t="n">
        <f aca="false">SUMIFS(Salidas_REM!$I:$I,Salidas_REM!$D:$D,A479,Salidas_REM!$F:$F,C479,Salidas_REM!$B:$B,$B$1,Salidas_REM!$C:$C,"Realizada")</f>
        <v>0</v>
      </c>
    </row>
    <row r="480" customFormat="false" ht="15" hidden="false" customHeight="false" outlineLevel="0" collapsed="false">
      <c r="A480" s="5" t="s">
        <v>109</v>
      </c>
      <c r="B480" s="5" t="s">
        <v>90</v>
      </c>
      <c r="C480" s="5" t="s">
        <v>676</v>
      </c>
      <c r="D480" s="5" t="s">
        <v>670</v>
      </c>
      <c r="E480" s="5" t="s">
        <v>533</v>
      </c>
      <c r="F480" s="10" t="n">
        <f aca="false">SUMIFS(Salidas_REM!$I:$I,Salidas_REM!$D:$D,A480,Salidas_REM!$F:$F,C480,Salidas_REM!$B:$B,$B$1,Salidas_REM!$C:$C,"Realizada")</f>
        <v>0</v>
      </c>
    </row>
    <row r="481" customFormat="false" ht="15" hidden="false" customHeight="false" outlineLevel="0" collapsed="false">
      <c r="A481" s="5" t="s">
        <v>109</v>
      </c>
      <c r="B481" s="5" t="s">
        <v>90</v>
      </c>
      <c r="C481" s="5" t="s">
        <v>677</v>
      </c>
      <c r="D481" s="5" t="s">
        <v>670</v>
      </c>
      <c r="E481" s="5" t="s">
        <v>123</v>
      </c>
      <c r="F481" s="10" t="n">
        <f aca="false">SUMIFS(Salidas_REM!$I:$I,Salidas_REM!$D:$D,A481,Salidas_REM!$F:$F,C481,Salidas_REM!$B:$B,$B$1,Salidas_REM!$C:$C,"Realizada")</f>
        <v>0</v>
      </c>
    </row>
    <row r="482" customFormat="false" ht="15" hidden="false" customHeight="false" outlineLevel="0" collapsed="false">
      <c r="A482" s="5" t="s">
        <v>109</v>
      </c>
      <c r="B482" s="5" t="s">
        <v>90</v>
      </c>
      <c r="C482" s="5" t="s">
        <v>678</v>
      </c>
      <c r="D482" s="5" t="s">
        <v>670</v>
      </c>
      <c r="E482" s="5" t="s">
        <v>536</v>
      </c>
      <c r="F482" s="10" t="n">
        <f aca="false">SUMIFS(Salidas_REM!$I:$I,Salidas_REM!$D:$D,A482,Salidas_REM!$F:$F,C482,Salidas_REM!$B:$B,$B$1,Salidas_REM!$C:$C,"Realizada")</f>
        <v>0</v>
      </c>
    </row>
    <row r="483" customFormat="false" ht="15" hidden="false" customHeight="false" outlineLevel="0" collapsed="false">
      <c r="A483" s="5" t="s">
        <v>109</v>
      </c>
      <c r="B483" s="5" t="s">
        <v>90</v>
      </c>
      <c r="C483" s="5" t="s">
        <v>679</v>
      </c>
      <c r="D483" s="5" t="s">
        <v>670</v>
      </c>
      <c r="E483" s="5" t="s">
        <v>538</v>
      </c>
      <c r="F483" s="10" t="n">
        <f aca="false">SUMIFS(Salidas_REM!$I:$I,Salidas_REM!$D:$D,A483,Salidas_REM!$F:$F,C483,Salidas_REM!$B:$B,$B$1,Salidas_REM!$C:$C,"Realizada")</f>
        <v>0</v>
      </c>
    </row>
    <row r="484" customFormat="false" ht="15" hidden="false" customHeight="false" outlineLevel="0" collapsed="false">
      <c r="A484" s="5" t="s">
        <v>109</v>
      </c>
      <c r="B484" s="5" t="s">
        <v>90</v>
      </c>
      <c r="C484" s="5" t="s">
        <v>680</v>
      </c>
      <c r="D484" s="5" t="s">
        <v>670</v>
      </c>
      <c r="E484" s="5" t="s">
        <v>540</v>
      </c>
      <c r="F484" s="10" t="n">
        <f aca="false">SUMIFS(Salidas_REM!$I:$I,Salidas_REM!$D:$D,A484,Salidas_REM!$F:$F,C484,Salidas_REM!$B:$B,$B$1,Salidas_REM!$C:$C,"Realizada")</f>
        <v>0</v>
      </c>
    </row>
    <row r="485" customFormat="false" ht="15" hidden="false" customHeight="false" outlineLevel="0" collapsed="false">
      <c r="A485" s="5" t="s">
        <v>109</v>
      </c>
      <c r="B485" s="5" t="s">
        <v>90</v>
      </c>
      <c r="C485" s="5" t="s">
        <v>681</v>
      </c>
      <c r="D485" s="5" t="s">
        <v>670</v>
      </c>
      <c r="E485" s="5" t="s">
        <v>114</v>
      </c>
      <c r="F485" s="10" t="n">
        <f aca="false">SUMIFS(Salidas_REM!$I:$I,Salidas_REM!$D:$D,A485,Salidas_REM!$F:$F,C485,Salidas_REM!$B:$B,$B$1,Salidas_REM!$C:$C,"Realizada")</f>
        <v>0</v>
      </c>
    </row>
    <row r="486" customFormat="false" ht="15" hidden="false" customHeight="false" outlineLevel="0" collapsed="false">
      <c r="A486" s="5" t="s">
        <v>109</v>
      </c>
      <c r="B486" s="5" t="s">
        <v>90</v>
      </c>
      <c r="C486" s="5" t="s">
        <v>682</v>
      </c>
      <c r="D486" s="5" t="s">
        <v>670</v>
      </c>
      <c r="E486" s="5" t="s">
        <v>116</v>
      </c>
      <c r="F486" s="10" t="n">
        <f aca="false">SUMIFS(Salidas_REM!$I:$I,Salidas_REM!$D:$D,A486,Salidas_REM!$F:$F,C486,Salidas_REM!$B:$B,$B$1,Salidas_REM!$C:$C,"Realizada")</f>
        <v>0</v>
      </c>
    </row>
    <row r="487" customFormat="false" ht="15" hidden="false" customHeight="false" outlineLevel="0" collapsed="false">
      <c r="A487" s="5" t="s">
        <v>109</v>
      </c>
      <c r="B487" s="5" t="s">
        <v>90</v>
      </c>
      <c r="C487" s="5" t="s">
        <v>683</v>
      </c>
      <c r="D487" s="5" t="s">
        <v>670</v>
      </c>
      <c r="E487" s="5" t="s">
        <v>544</v>
      </c>
      <c r="F487" s="10" t="n">
        <f aca="false">SUMIFS(Salidas_REM!$I:$I,Salidas_REM!$D:$D,A487,Salidas_REM!$F:$F,C487,Salidas_REM!$B:$B,$B$1,Salidas_REM!$C:$C,"Realizada")</f>
        <v>0</v>
      </c>
    </row>
    <row r="488" customFormat="false" ht="15" hidden="false" customHeight="false" outlineLevel="0" collapsed="false">
      <c r="A488" s="5" t="s">
        <v>109</v>
      </c>
      <c r="B488" s="5" t="s">
        <v>90</v>
      </c>
      <c r="C488" s="5" t="s">
        <v>684</v>
      </c>
      <c r="D488" s="5" t="s">
        <v>670</v>
      </c>
      <c r="E488" s="5" t="s">
        <v>546</v>
      </c>
      <c r="F488" s="10" t="n">
        <f aca="false">SUMIFS(Salidas_REM!$I:$I,Salidas_REM!$D:$D,A488,Salidas_REM!$F:$F,C488,Salidas_REM!$B:$B,$B$1,Salidas_REM!$C:$C,"Realizada")</f>
        <v>0</v>
      </c>
    </row>
    <row r="489" customFormat="false" ht="15" hidden="false" customHeight="false" outlineLevel="0" collapsed="false">
      <c r="A489" s="5" t="s">
        <v>109</v>
      </c>
      <c r="B489" s="5" t="s">
        <v>90</v>
      </c>
      <c r="C489" s="5" t="s">
        <v>685</v>
      </c>
      <c r="D489" s="5" t="s">
        <v>670</v>
      </c>
      <c r="E489" s="5" t="s">
        <v>548</v>
      </c>
      <c r="F489" s="10" t="n">
        <f aca="false">SUMIFS(Salidas_REM!$I:$I,Salidas_REM!$D:$D,A489,Salidas_REM!$F:$F,C489,Salidas_REM!$B:$B,$B$1,Salidas_REM!$C:$C,"Realizada")</f>
        <v>0</v>
      </c>
    </row>
    <row r="490" customFormat="false" ht="15" hidden="false" customHeight="false" outlineLevel="0" collapsed="false">
      <c r="A490" s="5" t="s">
        <v>109</v>
      </c>
      <c r="B490" s="5" t="s">
        <v>90</v>
      </c>
      <c r="C490" s="5" t="s">
        <v>686</v>
      </c>
      <c r="D490" s="5" t="s">
        <v>670</v>
      </c>
      <c r="E490" s="5" t="s">
        <v>550</v>
      </c>
      <c r="F490" s="10" t="n">
        <f aca="false">SUMIFS(Salidas_REM!$I:$I,Salidas_REM!$D:$D,A490,Salidas_REM!$F:$F,C490,Salidas_REM!$B:$B,$B$1,Salidas_REM!$C:$C,"Realizada")</f>
        <v>0</v>
      </c>
    </row>
    <row r="491" customFormat="false" ht="15" hidden="false" customHeight="false" outlineLevel="0" collapsed="false">
      <c r="A491" s="5" t="s">
        <v>109</v>
      </c>
      <c r="B491" s="5" t="s">
        <v>90</v>
      </c>
      <c r="C491" s="5" t="s">
        <v>687</v>
      </c>
      <c r="D491" s="5" t="s">
        <v>670</v>
      </c>
      <c r="E491" s="5" t="s">
        <v>118</v>
      </c>
      <c r="F491" s="10" t="n">
        <f aca="false">SUMIFS(Salidas_REM!$I:$I,Salidas_REM!$D:$D,A491,Salidas_REM!$F:$F,C491,Salidas_REM!$B:$B,$B$1,Salidas_REM!$C:$C,"Realizada")</f>
        <v>0</v>
      </c>
    </row>
    <row r="492" customFormat="false" ht="15" hidden="false" customHeight="false" outlineLevel="0" collapsed="false">
      <c r="A492" s="5" t="s">
        <v>109</v>
      </c>
      <c r="B492" s="5" t="s">
        <v>90</v>
      </c>
      <c r="C492" s="5" t="s">
        <v>688</v>
      </c>
      <c r="D492" s="5" t="s">
        <v>670</v>
      </c>
      <c r="E492" s="5" t="s">
        <v>120</v>
      </c>
      <c r="F492" s="10" t="n">
        <f aca="false">SUMIFS(Salidas_REM!$I:$I,Salidas_REM!$D:$D,A492,Salidas_REM!$F:$F,C492,Salidas_REM!$B:$B,$B$1,Salidas_REM!$C:$C,"Realizada")</f>
        <v>0</v>
      </c>
    </row>
    <row r="493" customFormat="false" ht="15" hidden="false" customHeight="false" outlineLevel="0" collapsed="false">
      <c r="A493" s="5" t="s">
        <v>109</v>
      </c>
      <c r="B493" s="5" t="s">
        <v>90</v>
      </c>
      <c r="C493" s="5" t="s">
        <v>689</v>
      </c>
      <c r="D493" s="5" t="s">
        <v>670</v>
      </c>
      <c r="E493" s="5" t="s">
        <v>554</v>
      </c>
      <c r="F493" s="10" t="n">
        <f aca="false">SUMIFS(Salidas_REM!$I:$I,Salidas_REM!$D:$D,A493,Salidas_REM!$F:$F,C493,Salidas_REM!$B:$B,$B$1,Salidas_REM!$C:$C,"Realizada")</f>
        <v>0</v>
      </c>
    </row>
    <row r="494" customFormat="false" ht="15" hidden="false" customHeight="false" outlineLevel="0" collapsed="false">
      <c r="A494" s="5" t="s">
        <v>109</v>
      </c>
      <c r="B494" s="5" t="s">
        <v>90</v>
      </c>
      <c r="C494" s="5" t="s">
        <v>690</v>
      </c>
      <c r="D494" s="5" t="s">
        <v>691</v>
      </c>
      <c r="E494" s="5" t="s">
        <v>522</v>
      </c>
      <c r="F494" s="10" t="n">
        <f aca="false">SUMIFS(Salidas_REM!$I:$I,Salidas_REM!$D:$D,A494,Salidas_REM!$F:$F,C494,Salidas_REM!$B:$B,$B$1,Salidas_REM!$C:$C,"Realizada")</f>
        <v>0</v>
      </c>
    </row>
    <row r="495" customFormat="false" ht="15" hidden="false" customHeight="false" outlineLevel="0" collapsed="false">
      <c r="A495" s="5" t="s">
        <v>109</v>
      </c>
      <c r="B495" s="5" t="s">
        <v>90</v>
      </c>
      <c r="C495" s="5" t="s">
        <v>692</v>
      </c>
      <c r="D495" s="5" t="s">
        <v>691</v>
      </c>
      <c r="E495" s="5" t="s">
        <v>524</v>
      </c>
      <c r="F495" s="10" t="n">
        <f aca="false">SUMIFS(Salidas_REM!$I:$I,Salidas_REM!$D:$D,A495,Salidas_REM!$F:$F,C495,Salidas_REM!$B:$B,$B$1,Salidas_REM!$C:$C,"Realizada")</f>
        <v>0</v>
      </c>
    </row>
    <row r="496" customFormat="false" ht="15" hidden="false" customHeight="false" outlineLevel="0" collapsed="false">
      <c r="A496" s="5" t="s">
        <v>109</v>
      </c>
      <c r="B496" s="5" t="s">
        <v>90</v>
      </c>
      <c r="C496" s="5" t="s">
        <v>693</v>
      </c>
      <c r="D496" s="5" t="s">
        <v>691</v>
      </c>
      <c r="E496" s="5" t="s">
        <v>526</v>
      </c>
      <c r="F496" s="10" t="n">
        <f aca="false">SUMIFS(Salidas_REM!$I:$I,Salidas_REM!$D:$D,A496,Salidas_REM!$F:$F,C496,Salidas_REM!$B:$B,$B$1,Salidas_REM!$C:$C,"Realizada")</f>
        <v>0</v>
      </c>
    </row>
    <row r="497" customFormat="false" ht="15" hidden="false" customHeight="false" outlineLevel="0" collapsed="false">
      <c r="A497" s="5" t="s">
        <v>109</v>
      </c>
      <c r="B497" s="5" t="s">
        <v>90</v>
      </c>
      <c r="C497" s="5" t="s">
        <v>694</v>
      </c>
      <c r="D497" s="5" t="s">
        <v>691</v>
      </c>
      <c r="E497" s="5" t="s">
        <v>528</v>
      </c>
      <c r="F497" s="10" t="n">
        <f aca="false">SUMIFS(Salidas_REM!$I:$I,Salidas_REM!$D:$D,A497,Salidas_REM!$F:$F,C497,Salidas_REM!$B:$B,$B$1,Salidas_REM!$C:$C,"Realizada")</f>
        <v>0</v>
      </c>
    </row>
    <row r="498" customFormat="false" ht="15" hidden="false" customHeight="false" outlineLevel="0" collapsed="false">
      <c r="A498" s="5" t="s">
        <v>109</v>
      </c>
      <c r="B498" s="5" t="s">
        <v>90</v>
      </c>
      <c r="C498" s="5" t="s">
        <v>695</v>
      </c>
      <c r="D498" s="5" t="s">
        <v>691</v>
      </c>
      <c r="E498" s="5" t="s">
        <v>530</v>
      </c>
      <c r="F498" s="10" t="n">
        <f aca="false">SUMIFS(Salidas_REM!$I:$I,Salidas_REM!$D:$D,A498,Salidas_REM!$F:$F,C498,Salidas_REM!$B:$B,$B$1,Salidas_REM!$C:$C,"Realizada")</f>
        <v>0</v>
      </c>
    </row>
    <row r="499" customFormat="false" ht="15" hidden="false" customHeight="false" outlineLevel="0" collapsed="false">
      <c r="A499" s="5" t="s">
        <v>109</v>
      </c>
      <c r="B499" s="5" t="s">
        <v>90</v>
      </c>
      <c r="C499" s="5" t="s">
        <v>696</v>
      </c>
      <c r="D499" s="5" t="s">
        <v>691</v>
      </c>
      <c r="E499" s="5" t="s">
        <v>112</v>
      </c>
      <c r="F499" s="10" t="n">
        <f aca="false">SUMIFS(Salidas_REM!$I:$I,Salidas_REM!$D:$D,A499,Salidas_REM!$F:$F,C499,Salidas_REM!$B:$B,$B$1,Salidas_REM!$C:$C,"Realizada")</f>
        <v>0</v>
      </c>
    </row>
    <row r="500" customFormat="false" ht="15" hidden="false" customHeight="false" outlineLevel="0" collapsed="false">
      <c r="A500" s="5" t="s">
        <v>109</v>
      </c>
      <c r="B500" s="5" t="s">
        <v>90</v>
      </c>
      <c r="C500" s="5" t="s">
        <v>697</v>
      </c>
      <c r="D500" s="5" t="s">
        <v>691</v>
      </c>
      <c r="E500" s="5" t="s">
        <v>533</v>
      </c>
      <c r="F500" s="10" t="n">
        <f aca="false">SUMIFS(Salidas_REM!$I:$I,Salidas_REM!$D:$D,A500,Salidas_REM!$F:$F,C500,Salidas_REM!$B:$B,$B$1,Salidas_REM!$C:$C,"Realizada")</f>
        <v>0</v>
      </c>
    </row>
    <row r="501" customFormat="false" ht="15" hidden="false" customHeight="false" outlineLevel="0" collapsed="false">
      <c r="A501" s="5" t="s">
        <v>109</v>
      </c>
      <c r="B501" s="5" t="s">
        <v>90</v>
      </c>
      <c r="C501" s="5" t="s">
        <v>698</v>
      </c>
      <c r="D501" s="5" t="s">
        <v>691</v>
      </c>
      <c r="E501" s="5" t="s">
        <v>123</v>
      </c>
      <c r="F501" s="10" t="n">
        <f aca="false">SUMIFS(Salidas_REM!$I:$I,Salidas_REM!$D:$D,A501,Salidas_REM!$F:$F,C501,Salidas_REM!$B:$B,$B$1,Salidas_REM!$C:$C,"Realizada")</f>
        <v>0</v>
      </c>
    </row>
    <row r="502" customFormat="false" ht="15" hidden="false" customHeight="false" outlineLevel="0" collapsed="false">
      <c r="A502" s="5" t="s">
        <v>109</v>
      </c>
      <c r="B502" s="5" t="s">
        <v>90</v>
      </c>
      <c r="C502" s="5" t="s">
        <v>699</v>
      </c>
      <c r="D502" s="5" t="s">
        <v>691</v>
      </c>
      <c r="E502" s="5" t="s">
        <v>536</v>
      </c>
      <c r="F502" s="10" t="n">
        <f aca="false">SUMIFS(Salidas_REM!$I:$I,Salidas_REM!$D:$D,A502,Salidas_REM!$F:$F,C502,Salidas_REM!$B:$B,$B$1,Salidas_REM!$C:$C,"Realizada")</f>
        <v>0</v>
      </c>
    </row>
    <row r="503" customFormat="false" ht="15" hidden="false" customHeight="false" outlineLevel="0" collapsed="false">
      <c r="A503" s="5" t="s">
        <v>109</v>
      </c>
      <c r="B503" s="5" t="s">
        <v>90</v>
      </c>
      <c r="C503" s="5" t="s">
        <v>700</v>
      </c>
      <c r="D503" s="5" t="s">
        <v>691</v>
      </c>
      <c r="E503" s="5" t="s">
        <v>538</v>
      </c>
      <c r="F503" s="10" t="n">
        <f aca="false">SUMIFS(Salidas_REM!$I:$I,Salidas_REM!$D:$D,A503,Salidas_REM!$F:$F,C503,Salidas_REM!$B:$B,$B$1,Salidas_REM!$C:$C,"Realizada")</f>
        <v>0</v>
      </c>
    </row>
    <row r="504" customFormat="false" ht="15" hidden="false" customHeight="false" outlineLevel="0" collapsed="false">
      <c r="A504" s="5" t="s">
        <v>109</v>
      </c>
      <c r="B504" s="5" t="s">
        <v>90</v>
      </c>
      <c r="C504" s="5" t="s">
        <v>701</v>
      </c>
      <c r="D504" s="5" t="s">
        <v>691</v>
      </c>
      <c r="E504" s="5" t="s">
        <v>540</v>
      </c>
      <c r="F504" s="10" t="n">
        <f aca="false">SUMIFS(Salidas_REM!$I:$I,Salidas_REM!$D:$D,A504,Salidas_REM!$F:$F,C504,Salidas_REM!$B:$B,$B$1,Salidas_REM!$C:$C,"Realizada")</f>
        <v>0</v>
      </c>
    </row>
    <row r="505" customFormat="false" ht="15" hidden="false" customHeight="false" outlineLevel="0" collapsed="false">
      <c r="A505" s="5" t="s">
        <v>109</v>
      </c>
      <c r="B505" s="5" t="s">
        <v>90</v>
      </c>
      <c r="C505" s="5" t="s">
        <v>702</v>
      </c>
      <c r="D505" s="5" t="s">
        <v>691</v>
      </c>
      <c r="E505" s="5" t="s">
        <v>114</v>
      </c>
      <c r="F505" s="10" t="n">
        <f aca="false">SUMIFS(Salidas_REM!$I:$I,Salidas_REM!$D:$D,A505,Salidas_REM!$F:$F,C505,Salidas_REM!$B:$B,$B$1,Salidas_REM!$C:$C,"Realizada")</f>
        <v>0</v>
      </c>
    </row>
    <row r="506" customFormat="false" ht="15" hidden="false" customHeight="false" outlineLevel="0" collapsed="false">
      <c r="A506" s="5" t="s">
        <v>109</v>
      </c>
      <c r="B506" s="5" t="s">
        <v>90</v>
      </c>
      <c r="C506" s="5" t="s">
        <v>703</v>
      </c>
      <c r="D506" s="5" t="s">
        <v>691</v>
      </c>
      <c r="E506" s="5" t="s">
        <v>116</v>
      </c>
      <c r="F506" s="10" t="n">
        <f aca="false">SUMIFS(Salidas_REM!$I:$I,Salidas_REM!$D:$D,A506,Salidas_REM!$F:$F,C506,Salidas_REM!$B:$B,$B$1,Salidas_REM!$C:$C,"Realizada")</f>
        <v>0</v>
      </c>
    </row>
    <row r="507" customFormat="false" ht="15" hidden="false" customHeight="false" outlineLevel="0" collapsed="false">
      <c r="A507" s="5" t="s">
        <v>109</v>
      </c>
      <c r="B507" s="5" t="s">
        <v>90</v>
      </c>
      <c r="C507" s="5" t="s">
        <v>704</v>
      </c>
      <c r="D507" s="5" t="s">
        <v>691</v>
      </c>
      <c r="E507" s="5" t="s">
        <v>544</v>
      </c>
      <c r="F507" s="10" t="n">
        <f aca="false">SUMIFS(Salidas_REM!$I:$I,Salidas_REM!$D:$D,A507,Salidas_REM!$F:$F,C507,Salidas_REM!$B:$B,$B$1,Salidas_REM!$C:$C,"Realizada")</f>
        <v>0</v>
      </c>
    </row>
    <row r="508" customFormat="false" ht="15" hidden="false" customHeight="false" outlineLevel="0" collapsed="false">
      <c r="A508" s="5" t="s">
        <v>109</v>
      </c>
      <c r="B508" s="5" t="s">
        <v>90</v>
      </c>
      <c r="C508" s="5" t="s">
        <v>705</v>
      </c>
      <c r="D508" s="5" t="s">
        <v>691</v>
      </c>
      <c r="E508" s="5" t="s">
        <v>546</v>
      </c>
      <c r="F508" s="10" t="n">
        <f aca="false">SUMIFS(Salidas_REM!$I:$I,Salidas_REM!$D:$D,A508,Salidas_REM!$F:$F,C508,Salidas_REM!$B:$B,$B$1,Salidas_REM!$C:$C,"Realizada")</f>
        <v>0</v>
      </c>
    </row>
    <row r="509" customFormat="false" ht="15" hidden="false" customHeight="false" outlineLevel="0" collapsed="false">
      <c r="A509" s="5" t="s">
        <v>109</v>
      </c>
      <c r="B509" s="5" t="s">
        <v>90</v>
      </c>
      <c r="C509" s="5" t="s">
        <v>706</v>
      </c>
      <c r="D509" s="5" t="s">
        <v>691</v>
      </c>
      <c r="E509" s="5" t="s">
        <v>548</v>
      </c>
      <c r="F509" s="10" t="n">
        <f aca="false">SUMIFS(Salidas_REM!$I:$I,Salidas_REM!$D:$D,A509,Salidas_REM!$F:$F,C509,Salidas_REM!$B:$B,$B$1,Salidas_REM!$C:$C,"Realizada")</f>
        <v>0</v>
      </c>
    </row>
    <row r="510" customFormat="false" ht="15" hidden="false" customHeight="false" outlineLevel="0" collapsed="false">
      <c r="A510" s="5" t="s">
        <v>109</v>
      </c>
      <c r="B510" s="5" t="s">
        <v>90</v>
      </c>
      <c r="C510" s="5" t="s">
        <v>707</v>
      </c>
      <c r="D510" s="5" t="s">
        <v>691</v>
      </c>
      <c r="E510" s="5" t="s">
        <v>550</v>
      </c>
      <c r="F510" s="10" t="n">
        <f aca="false">SUMIFS(Salidas_REM!$I:$I,Salidas_REM!$D:$D,A510,Salidas_REM!$F:$F,C510,Salidas_REM!$B:$B,$B$1,Salidas_REM!$C:$C,"Realizada")</f>
        <v>0</v>
      </c>
    </row>
    <row r="511" customFormat="false" ht="15" hidden="false" customHeight="false" outlineLevel="0" collapsed="false">
      <c r="A511" s="5" t="s">
        <v>109</v>
      </c>
      <c r="B511" s="5" t="s">
        <v>90</v>
      </c>
      <c r="C511" s="5" t="s">
        <v>708</v>
      </c>
      <c r="D511" s="5" t="s">
        <v>691</v>
      </c>
      <c r="E511" s="5" t="s">
        <v>118</v>
      </c>
      <c r="F511" s="10" t="n">
        <f aca="false">SUMIFS(Salidas_REM!$I:$I,Salidas_REM!$D:$D,A511,Salidas_REM!$F:$F,C511,Salidas_REM!$B:$B,$B$1,Salidas_REM!$C:$C,"Realizada")</f>
        <v>0</v>
      </c>
    </row>
    <row r="512" customFormat="false" ht="15" hidden="false" customHeight="false" outlineLevel="0" collapsed="false">
      <c r="A512" s="5" t="s">
        <v>109</v>
      </c>
      <c r="B512" s="5" t="s">
        <v>90</v>
      </c>
      <c r="C512" s="5" t="s">
        <v>709</v>
      </c>
      <c r="D512" s="5" t="s">
        <v>691</v>
      </c>
      <c r="E512" s="5" t="s">
        <v>120</v>
      </c>
      <c r="F512" s="10" t="n">
        <f aca="false">SUMIFS(Salidas_REM!$I:$I,Salidas_REM!$D:$D,A512,Salidas_REM!$F:$F,C512,Salidas_REM!$B:$B,$B$1,Salidas_REM!$C:$C,"Realizada")</f>
        <v>0</v>
      </c>
    </row>
    <row r="513" customFormat="false" ht="15" hidden="false" customHeight="false" outlineLevel="0" collapsed="false">
      <c r="A513" s="5" t="s">
        <v>109</v>
      </c>
      <c r="B513" s="5" t="s">
        <v>90</v>
      </c>
      <c r="C513" s="5" t="s">
        <v>710</v>
      </c>
      <c r="D513" s="5" t="s">
        <v>691</v>
      </c>
      <c r="E513" s="5" t="s">
        <v>554</v>
      </c>
      <c r="F513" s="10" t="n">
        <f aca="false">SUMIFS(Salidas_REM!$I:$I,Salidas_REM!$D:$D,A513,Salidas_REM!$F:$F,C513,Salidas_REM!$B:$B,$B$1,Salidas_REM!$C:$C,"Realizada")</f>
        <v>0</v>
      </c>
    </row>
    <row r="514" customFormat="false" ht="15" hidden="false" customHeight="false" outlineLevel="0" collapsed="false">
      <c r="A514" s="5" t="s">
        <v>109</v>
      </c>
      <c r="B514" s="5" t="s">
        <v>90</v>
      </c>
      <c r="C514" s="5" t="s">
        <v>711</v>
      </c>
      <c r="D514" s="5" t="s">
        <v>712</v>
      </c>
      <c r="E514" s="5" t="s">
        <v>522</v>
      </c>
      <c r="F514" s="10" t="n">
        <f aca="false">SUMIFS(Salidas_REM!$I:$I,Salidas_REM!$D:$D,A514,Salidas_REM!$F:$F,C514,Salidas_REM!$B:$B,$B$1,Salidas_REM!$C:$C,"Realizada")</f>
        <v>0</v>
      </c>
    </row>
    <row r="515" customFormat="false" ht="15" hidden="false" customHeight="false" outlineLevel="0" collapsed="false">
      <c r="A515" s="5" t="s">
        <v>109</v>
      </c>
      <c r="B515" s="5" t="s">
        <v>90</v>
      </c>
      <c r="C515" s="5" t="s">
        <v>713</v>
      </c>
      <c r="D515" s="5" t="s">
        <v>712</v>
      </c>
      <c r="E515" s="5" t="s">
        <v>524</v>
      </c>
      <c r="F515" s="10" t="n">
        <f aca="false">SUMIFS(Salidas_REM!$I:$I,Salidas_REM!$D:$D,A515,Salidas_REM!$F:$F,C515,Salidas_REM!$B:$B,$B$1,Salidas_REM!$C:$C,"Realizada")</f>
        <v>0</v>
      </c>
    </row>
    <row r="516" customFormat="false" ht="15" hidden="false" customHeight="false" outlineLevel="0" collapsed="false">
      <c r="A516" s="5" t="s">
        <v>109</v>
      </c>
      <c r="B516" s="5" t="s">
        <v>90</v>
      </c>
      <c r="C516" s="5" t="s">
        <v>714</v>
      </c>
      <c r="D516" s="5" t="s">
        <v>712</v>
      </c>
      <c r="E516" s="5" t="s">
        <v>526</v>
      </c>
      <c r="F516" s="10" t="n">
        <f aca="false">SUMIFS(Salidas_REM!$I:$I,Salidas_REM!$D:$D,A516,Salidas_REM!$F:$F,C516,Salidas_REM!$B:$B,$B$1,Salidas_REM!$C:$C,"Realizada")</f>
        <v>0</v>
      </c>
    </row>
    <row r="517" customFormat="false" ht="15" hidden="false" customHeight="false" outlineLevel="0" collapsed="false">
      <c r="A517" s="5" t="s">
        <v>109</v>
      </c>
      <c r="B517" s="5" t="s">
        <v>90</v>
      </c>
      <c r="C517" s="5" t="s">
        <v>715</v>
      </c>
      <c r="D517" s="5" t="s">
        <v>712</v>
      </c>
      <c r="E517" s="5" t="s">
        <v>528</v>
      </c>
      <c r="F517" s="10" t="n">
        <f aca="false">SUMIFS(Salidas_REM!$I:$I,Salidas_REM!$D:$D,A517,Salidas_REM!$F:$F,C517,Salidas_REM!$B:$B,$B$1,Salidas_REM!$C:$C,"Realizada")</f>
        <v>0</v>
      </c>
    </row>
    <row r="518" customFormat="false" ht="15" hidden="false" customHeight="false" outlineLevel="0" collapsed="false">
      <c r="A518" s="5" t="s">
        <v>109</v>
      </c>
      <c r="B518" s="5" t="s">
        <v>90</v>
      </c>
      <c r="C518" s="5" t="s">
        <v>716</v>
      </c>
      <c r="D518" s="5" t="s">
        <v>712</v>
      </c>
      <c r="E518" s="5" t="s">
        <v>530</v>
      </c>
      <c r="F518" s="10" t="n">
        <f aca="false">SUMIFS(Salidas_REM!$I:$I,Salidas_REM!$D:$D,A518,Salidas_REM!$F:$F,C518,Salidas_REM!$B:$B,$B$1,Salidas_REM!$C:$C,"Realizada")</f>
        <v>0</v>
      </c>
    </row>
    <row r="519" customFormat="false" ht="15" hidden="false" customHeight="false" outlineLevel="0" collapsed="false">
      <c r="A519" s="5" t="s">
        <v>109</v>
      </c>
      <c r="B519" s="5" t="s">
        <v>90</v>
      </c>
      <c r="C519" s="5" t="s">
        <v>717</v>
      </c>
      <c r="D519" s="5" t="s">
        <v>712</v>
      </c>
      <c r="E519" s="5" t="s">
        <v>112</v>
      </c>
      <c r="F519" s="10" t="n">
        <f aca="false">SUMIFS(Salidas_REM!$I:$I,Salidas_REM!$D:$D,A519,Salidas_REM!$F:$F,C519,Salidas_REM!$B:$B,$B$1,Salidas_REM!$C:$C,"Realizada")</f>
        <v>0</v>
      </c>
    </row>
    <row r="520" customFormat="false" ht="15" hidden="false" customHeight="false" outlineLevel="0" collapsed="false">
      <c r="A520" s="5" t="s">
        <v>109</v>
      </c>
      <c r="B520" s="5" t="s">
        <v>90</v>
      </c>
      <c r="C520" s="5" t="s">
        <v>718</v>
      </c>
      <c r="D520" s="5" t="s">
        <v>712</v>
      </c>
      <c r="E520" s="5" t="s">
        <v>533</v>
      </c>
      <c r="F520" s="10" t="n">
        <f aca="false">SUMIFS(Salidas_REM!$I:$I,Salidas_REM!$D:$D,A520,Salidas_REM!$F:$F,C520,Salidas_REM!$B:$B,$B$1,Salidas_REM!$C:$C,"Realizada")</f>
        <v>0</v>
      </c>
    </row>
    <row r="521" customFormat="false" ht="15" hidden="false" customHeight="false" outlineLevel="0" collapsed="false">
      <c r="A521" s="5" t="s">
        <v>109</v>
      </c>
      <c r="B521" s="5" t="s">
        <v>90</v>
      </c>
      <c r="C521" s="5" t="s">
        <v>719</v>
      </c>
      <c r="D521" s="5" t="s">
        <v>712</v>
      </c>
      <c r="E521" s="5" t="s">
        <v>123</v>
      </c>
      <c r="F521" s="10" t="n">
        <f aca="false">SUMIFS(Salidas_REM!$I:$I,Salidas_REM!$D:$D,A521,Salidas_REM!$F:$F,C521,Salidas_REM!$B:$B,$B$1,Salidas_REM!$C:$C,"Realizada")</f>
        <v>0</v>
      </c>
    </row>
    <row r="522" customFormat="false" ht="15" hidden="false" customHeight="false" outlineLevel="0" collapsed="false">
      <c r="A522" s="5" t="s">
        <v>109</v>
      </c>
      <c r="B522" s="5" t="s">
        <v>90</v>
      </c>
      <c r="C522" s="5" t="s">
        <v>720</v>
      </c>
      <c r="D522" s="5" t="s">
        <v>712</v>
      </c>
      <c r="E522" s="5" t="s">
        <v>536</v>
      </c>
      <c r="F522" s="10" t="n">
        <f aca="false">SUMIFS(Salidas_REM!$I:$I,Salidas_REM!$D:$D,A522,Salidas_REM!$F:$F,C522,Salidas_REM!$B:$B,$B$1,Salidas_REM!$C:$C,"Realizada")</f>
        <v>0</v>
      </c>
    </row>
    <row r="523" customFormat="false" ht="15" hidden="false" customHeight="false" outlineLevel="0" collapsed="false">
      <c r="A523" s="5" t="s">
        <v>109</v>
      </c>
      <c r="B523" s="5" t="s">
        <v>90</v>
      </c>
      <c r="C523" s="5" t="s">
        <v>721</v>
      </c>
      <c r="D523" s="5" t="s">
        <v>712</v>
      </c>
      <c r="E523" s="5" t="s">
        <v>538</v>
      </c>
      <c r="F523" s="10" t="n">
        <f aca="false">SUMIFS(Salidas_REM!$I:$I,Salidas_REM!$D:$D,A523,Salidas_REM!$F:$F,C523,Salidas_REM!$B:$B,$B$1,Salidas_REM!$C:$C,"Realizada")</f>
        <v>0</v>
      </c>
    </row>
    <row r="524" customFormat="false" ht="15" hidden="false" customHeight="false" outlineLevel="0" collapsed="false">
      <c r="A524" s="5" t="s">
        <v>109</v>
      </c>
      <c r="B524" s="5" t="s">
        <v>90</v>
      </c>
      <c r="C524" s="5" t="s">
        <v>722</v>
      </c>
      <c r="D524" s="5" t="s">
        <v>712</v>
      </c>
      <c r="E524" s="5" t="s">
        <v>540</v>
      </c>
      <c r="F524" s="10" t="n">
        <f aca="false">SUMIFS(Salidas_REM!$I:$I,Salidas_REM!$D:$D,A524,Salidas_REM!$F:$F,C524,Salidas_REM!$B:$B,$B$1,Salidas_REM!$C:$C,"Realizada")</f>
        <v>0</v>
      </c>
    </row>
    <row r="525" customFormat="false" ht="15" hidden="false" customHeight="false" outlineLevel="0" collapsed="false">
      <c r="A525" s="5" t="s">
        <v>109</v>
      </c>
      <c r="B525" s="5" t="s">
        <v>90</v>
      </c>
      <c r="C525" s="5" t="s">
        <v>723</v>
      </c>
      <c r="D525" s="5" t="s">
        <v>712</v>
      </c>
      <c r="E525" s="5" t="s">
        <v>114</v>
      </c>
      <c r="F525" s="10" t="n">
        <f aca="false">SUMIFS(Salidas_REM!$I:$I,Salidas_REM!$D:$D,A525,Salidas_REM!$F:$F,C525,Salidas_REM!$B:$B,$B$1,Salidas_REM!$C:$C,"Realizada")</f>
        <v>0</v>
      </c>
    </row>
    <row r="526" customFormat="false" ht="15" hidden="false" customHeight="false" outlineLevel="0" collapsed="false">
      <c r="A526" s="5" t="s">
        <v>109</v>
      </c>
      <c r="B526" s="5" t="s">
        <v>90</v>
      </c>
      <c r="C526" s="5" t="s">
        <v>724</v>
      </c>
      <c r="D526" s="5" t="s">
        <v>712</v>
      </c>
      <c r="E526" s="5" t="s">
        <v>116</v>
      </c>
      <c r="F526" s="10" t="n">
        <f aca="false">SUMIFS(Salidas_REM!$I:$I,Salidas_REM!$D:$D,A526,Salidas_REM!$F:$F,C526,Salidas_REM!$B:$B,$B$1,Salidas_REM!$C:$C,"Realizada")</f>
        <v>0</v>
      </c>
    </row>
    <row r="527" customFormat="false" ht="15" hidden="false" customHeight="false" outlineLevel="0" collapsed="false">
      <c r="A527" s="5" t="s">
        <v>109</v>
      </c>
      <c r="B527" s="5" t="s">
        <v>90</v>
      </c>
      <c r="C527" s="5" t="s">
        <v>725</v>
      </c>
      <c r="D527" s="5" t="s">
        <v>712</v>
      </c>
      <c r="E527" s="5" t="s">
        <v>544</v>
      </c>
      <c r="F527" s="10" t="n">
        <f aca="false">SUMIFS(Salidas_REM!$I:$I,Salidas_REM!$D:$D,A527,Salidas_REM!$F:$F,C527,Salidas_REM!$B:$B,$B$1,Salidas_REM!$C:$C,"Realizada")</f>
        <v>0</v>
      </c>
    </row>
    <row r="528" customFormat="false" ht="15" hidden="false" customHeight="false" outlineLevel="0" collapsed="false">
      <c r="A528" s="5" t="s">
        <v>109</v>
      </c>
      <c r="B528" s="5" t="s">
        <v>90</v>
      </c>
      <c r="C528" s="5" t="s">
        <v>726</v>
      </c>
      <c r="D528" s="5" t="s">
        <v>712</v>
      </c>
      <c r="E528" s="5" t="s">
        <v>546</v>
      </c>
      <c r="F528" s="10" t="n">
        <f aca="false">SUMIFS(Salidas_REM!$I:$I,Salidas_REM!$D:$D,A528,Salidas_REM!$F:$F,C528,Salidas_REM!$B:$B,$B$1,Salidas_REM!$C:$C,"Realizada")</f>
        <v>0</v>
      </c>
    </row>
    <row r="529" customFormat="false" ht="15" hidden="false" customHeight="false" outlineLevel="0" collapsed="false">
      <c r="A529" s="5" t="s">
        <v>109</v>
      </c>
      <c r="B529" s="5" t="s">
        <v>90</v>
      </c>
      <c r="C529" s="5" t="s">
        <v>727</v>
      </c>
      <c r="D529" s="5" t="s">
        <v>712</v>
      </c>
      <c r="E529" s="5" t="s">
        <v>548</v>
      </c>
      <c r="F529" s="10" t="n">
        <f aca="false">SUMIFS(Salidas_REM!$I:$I,Salidas_REM!$D:$D,A529,Salidas_REM!$F:$F,C529,Salidas_REM!$B:$B,$B$1,Salidas_REM!$C:$C,"Realizada")</f>
        <v>0</v>
      </c>
    </row>
    <row r="530" customFormat="false" ht="15" hidden="false" customHeight="false" outlineLevel="0" collapsed="false">
      <c r="A530" s="5" t="s">
        <v>109</v>
      </c>
      <c r="B530" s="5" t="s">
        <v>90</v>
      </c>
      <c r="C530" s="5" t="s">
        <v>728</v>
      </c>
      <c r="D530" s="5" t="s">
        <v>712</v>
      </c>
      <c r="E530" s="5" t="s">
        <v>550</v>
      </c>
      <c r="F530" s="10" t="n">
        <f aca="false">SUMIFS(Salidas_REM!$I:$I,Salidas_REM!$D:$D,A530,Salidas_REM!$F:$F,C530,Salidas_REM!$B:$B,$B$1,Salidas_REM!$C:$C,"Realizada")</f>
        <v>0</v>
      </c>
    </row>
    <row r="531" customFormat="false" ht="15" hidden="false" customHeight="false" outlineLevel="0" collapsed="false">
      <c r="A531" s="5" t="s">
        <v>109</v>
      </c>
      <c r="B531" s="5" t="s">
        <v>90</v>
      </c>
      <c r="C531" s="5" t="s">
        <v>729</v>
      </c>
      <c r="D531" s="5" t="s">
        <v>712</v>
      </c>
      <c r="E531" s="5" t="s">
        <v>118</v>
      </c>
      <c r="F531" s="10" t="n">
        <f aca="false">SUMIFS(Salidas_REM!$I:$I,Salidas_REM!$D:$D,A531,Salidas_REM!$F:$F,C531,Salidas_REM!$B:$B,$B$1,Salidas_REM!$C:$C,"Realizada")</f>
        <v>0</v>
      </c>
    </row>
    <row r="532" customFormat="false" ht="15" hidden="false" customHeight="false" outlineLevel="0" collapsed="false">
      <c r="A532" s="5" t="s">
        <v>109</v>
      </c>
      <c r="B532" s="5" t="s">
        <v>90</v>
      </c>
      <c r="C532" s="5" t="s">
        <v>730</v>
      </c>
      <c r="D532" s="5" t="s">
        <v>712</v>
      </c>
      <c r="E532" s="5" t="s">
        <v>120</v>
      </c>
      <c r="F532" s="10" t="n">
        <f aca="false">SUMIFS(Salidas_REM!$I:$I,Salidas_REM!$D:$D,A532,Salidas_REM!$F:$F,C532,Salidas_REM!$B:$B,$B$1,Salidas_REM!$C:$C,"Realizada")</f>
        <v>0</v>
      </c>
    </row>
    <row r="533" customFormat="false" ht="15" hidden="false" customHeight="false" outlineLevel="0" collapsed="false">
      <c r="A533" s="5" t="s">
        <v>109</v>
      </c>
      <c r="B533" s="5" t="s">
        <v>90</v>
      </c>
      <c r="C533" s="5" t="s">
        <v>731</v>
      </c>
      <c r="D533" s="5" t="s">
        <v>712</v>
      </c>
      <c r="E533" s="5" t="s">
        <v>554</v>
      </c>
      <c r="F533" s="10" t="n">
        <f aca="false">SUMIFS(Salidas_REM!$I:$I,Salidas_REM!$D:$D,A533,Salidas_REM!$F:$F,C533,Salidas_REM!$B:$B,$B$1,Salidas_REM!$C:$C,"Realizada")</f>
        <v>0</v>
      </c>
    </row>
    <row r="534" customFormat="false" ht="15" hidden="false" customHeight="false" outlineLevel="0" collapsed="false">
      <c r="A534" s="5" t="s">
        <v>109</v>
      </c>
      <c r="B534" s="5" t="s">
        <v>90</v>
      </c>
      <c r="C534" s="5" t="s">
        <v>732</v>
      </c>
      <c r="D534" s="5" t="s">
        <v>733</v>
      </c>
      <c r="E534" s="5" t="s">
        <v>522</v>
      </c>
      <c r="F534" s="10" t="n">
        <f aca="false">SUMIFS(Salidas_REM!$I:$I,Salidas_REM!$D:$D,A534,Salidas_REM!$F:$F,C534,Salidas_REM!$B:$B,$B$1,Salidas_REM!$C:$C,"Realizada")</f>
        <v>0</v>
      </c>
    </row>
    <row r="535" customFormat="false" ht="15" hidden="false" customHeight="false" outlineLevel="0" collapsed="false">
      <c r="A535" s="5" t="s">
        <v>109</v>
      </c>
      <c r="B535" s="5" t="s">
        <v>90</v>
      </c>
      <c r="C535" s="5" t="s">
        <v>734</v>
      </c>
      <c r="D535" s="5" t="s">
        <v>733</v>
      </c>
      <c r="E535" s="5" t="s">
        <v>524</v>
      </c>
      <c r="F535" s="10" t="n">
        <f aca="false">SUMIFS(Salidas_REM!$I:$I,Salidas_REM!$D:$D,A535,Salidas_REM!$F:$F,C535,Salidas_REM!$B:$B,$B$1,Salidas_REM!$C:$C,"Realizada")</f>
        <v>0</v>
      </c>
    </row>
    <row r="536" customFormat="false" ht="15" hidden="false" customHeight="false" outlineLevel="0" collapsed="false">
      <c r="A536" s="5" t="s">
        <v>109</v>
      </c>
      <c r="B536" s="5" t="s">
        <v>90</v>
      </c>
      <c r="C536" s="5" t="s">
        <v>735</v>
      </c>
      <c r="D536" s="5" t="s">
        <v>733</v>
      </c>
      <c r="E536" s="5" t="s">
        <v>526</v>
      </c>
      <c r="F536" s="10" t="n">
        <f aca="false">SUMIFS(Salidas_REM!$I:$I,Salidas_REM!$D:$D,A536,Salidas_REM!$F:$F,C536,Salidas_REM!$B:$B,$B$1,Salidas_REM!$C:$C,"Realizada")</f>
        <v>0</v>
      </c>
    </row>
    <row r="537" customFormat="false" ht="15" hidden="false" customHeight="false" outlineLevel="0" collapsed="false">
      <c r="A537" s="5" t="s">
        <v>109</v>
      </c>
      <c r="B537" s="5" t="s">
        <v>90</v>
      </c>
      <c r="C537" s="5" t="s">
        <v>736</v>
      </c>
      <c r="D537" s="5" t="s">
        <v>733</v>
      </c>
      <c r="E537" s="5" t="s">
        <v>528</v>
      </c>
      <c r="F537" s="10" t="n">
        <f aca="false">SUMIFS(Salidas_REM!$I:$I,Salidas_REM!$D:$D,A537,Salidas_REM!$F:$F,C537,Salidas_REM!$B:$B,$B$1,Salidas_REM!$C:$C,"Realizada")</f>
        <v>0</v>
      </c>
    </row>
    <row r="538" customFormat="false" ht="15" hidden="false" customHeight="false" outlineLevel="0" collapsed="false">
      <c r="A538" s="5" t="s">
        <v>109</v>
      </c>
      <c r="B538" s="5" t="s">
        <v>90</v>
      </c>
      <c r="C538" s="5" t="s">
        <v>737</v>
      </c>
      <c r="D538" s="5" t="s">
        <v>733</v>
      </c>
      <c r="E538" s="5" t="s">
        <v>530</v>
      </c>
      <c r="F538" s="10" t="n">
        <f aca="false">SUMIFS(Salidas_REM!$I:$I,Salidas_REM!$D:$D,A538,Salidas_REM!$F:$F,C538,Salidas_REM!$B:$B,$B$1,Salidas_REM!$C:$C,"Realizada")</f>
        <v>0</v>
      </c>
    </row>
    <row r="539" customFormat="false" ht="15" hidden="false" customHeight="false" outlineLevel="0" collapsed="false">
      <c r="A539" s="5" t="s">
        <v>109</v>
      </c>
      <c r="B539" s="5" t="s">
        <v>90</v>
      </c>
      <c r="C539" s="5" t="s">
        <v>738</v>
      </c>
      <c r="D539" s="5" t="s">
        <v>733</v>
      </c>
      <c r="E539" s="5" t="s">
        <v>112</v>
      </c>
      <c r="F539" s="10" t="n">
        <f aca="false">SUMIFS(Salidas_REM!$I:$I,Salidas_REM!$D:$D,A539,Salidas_REM!$F:$F,C539,Salidas_REM!$B:$B,$B$1,Salidas_REM!$C:$C,"Realizada")</f>
        <v>0</v>
      </c>
    </row>
    <row r="540" customFormat="false" ht="15" hidden="false" customHeight="false" outlineLevel="0" collapsed="false">
      <c r="A540" s="5" t="s">
        <v>109</v>
      </c>
      <c r="B540" s="5" t="s">
        <v>90</v>
      </c>
      <c r="C540" s="5" t="s">
        <v>739</v>
      </c>
      <c r="D540" s="5" t="s">
        <v>733</v>
      </c>
      <c r="E540" s="5" t="s">
        <v>533</v>
      </c>
      <c r="F540" s="10" t="n">
        <f aca="false">SUMIFS(Salidas_REM!$I:$I,Salidas_REM!$D:$D,A540,Salidas_REM!$F:$F,C540,Salidas_REM!$B:$B,$B$1,Salidas_REM!$C:$C,"Realizada")</f>
        <v>0</v>
      </c>
    </row>
    <row r="541" customFormat="false" ht="15" hidden="false" customHeight="false" outlineLevel="0" collapsed="false">
      <c r="A541" s="5" t="s">
        <v>109</v>
      </c>
      <c r="B541" s="5" t="s">
        <v>90</v>
      </c>
      <c r="C541" s="5" t="s">
        <v>740</v>
      </c>
      <c r="D541" s="5" t="s">
        <v>733</v>
      </c>
      <c r="E541" s="5" t="s">
        <v>123</v>
      </c>
      <c r="F541" s="10" t="n">
        <f aca="false">SUMIFS(Salidas_REM!$I:$I,Salidas_REM!$D:$D,A541,Salidas_REM!$F:$F,C541,Salidas_REM!$B:$B,$B$1,Salidas_REM!$C:$C,"Realizada")</f>
        <v>0</v>
      </c>
    </row>
    <row r="542" customFormat="false" ht="15" hidden="false" customHeight="false" outlineLevel="0" collapsed="false">
      <c r="A542" s="5" t="s">
        <v>109</v>
      </c>
      <c r="B542" s="5" t="s">
        <v>90</v>
      </c>
      <c r="C542" s="5" t="s">
        <v>741</v>
      </c>
      <c r="D542" s="5" t="s">
        <v>733</v>
      </c>
      <c r="E542" s="5" t="s">
        <v>536</v>
      </c>
      <c r="F542" s="10" t="n">
        <f aca="false">SUMIFS(Salidas_REM!$I:$I,Salidas_REM!$D:$D,A542,Salidas_REM!$F:$F,C542,Salidas_REM!$B:$B,$B$1,Salidas_REM!$C:$C,"Realizada")</f>
        <v>0</v>
      </c>
    </row>
    <row r="543" customFormat="false" ht="15" hidden="false" customHeight="false" outlineLevel="0" collapsed="false">
      <c r="A543" s="5" t="s">
        <v>109</v>
      </c>
      <c r="B543" s="5" t="s">
        <v>90</v>
      </c>
      <c r="C543" s="5" t="s">
        <v>742</v>
      </c>
      <c r="D543" s="5" t="s">
        <v>733</v>
      </c>
      <c r="E543" s="5" t="s">
        <v>538</v>
      </c>
      <c r="F543" s="10" t="n">
        <f aca="false">SUMIFS(Salidas_REM!$I:$I,Salidas_REM!$D:$D,A543,Salidas_REM!$F:$F,C543,Salidas_REM!$B:$B,$B$1,Salidas_REM!$C:$C,"Realizada")</f>
        <v>0</v>
      </c>
    </row>
    <row r="544" customFormat="false" ht="15" hidden="false" customHeight="false" outlineLevel="0" collapsed="false">
      <c r="A544" s="5" t="s">
        <v>109</v>
      </c>
      <c r="B544" s="5" t="s">
        <v>90</v>
      </c>
      <c r="C544" s="5" t="s">
        <v>743</v>
      </c>
      <c r="D544" s="5" t="s">
        <v>733</v>
      </c>
      <c r="E544" s="5" t="s">
        <v>540</v>
      </c>
      <c r="F544" s="10" t="n">
        <f aca="false">SUMIFS(Salidas_REM!$I:$I,Salidas_REM!$D:$D,A544,Salidas_REM!$F:$F,C544,Salidas_REM!$B:$B,$B$1,Salidas_REM!$C:$C,"Realizada")</f>
        <v>0</v>
      </c>
    </row>
    <row r="545" customFormat="false" ht="15" hidden="false" customHeight="false" outlineLevel="0" collapsed="false">
      <c r="A545" s="5" t="s">
        <v>109</v>
      </c>
      <c r="B545" s="5" t="s">
        <v>90</v>
      </c>
      <c r="C545" s="5" t="s">
        <v>744</v>
      </c>
      <c r="D545" s="5" t="s">
        <v>733</v>
      </c>
      <c r="E545" s="5" t="s">
        <v>114</v>
      </c>
      <c r="F545" s="10" t="n">
        <f aca="false">SUMIFS(Salidas_REM!$I:$I,Salidas_REM!$D:$D,A545,Salidas_REM!$F:$F,C545,Salidas_REM!$B:$B,$B$1,Salidas_REM!$C:$C,"Realizada")</f>
        <v>0</v>
      </c>
    </row>
    <row r="546" customFormat="false" ht="15" hidden="false" customHeight="false" outlineLevel="0" collapsed="false">
      <c r="A546" s="5" t="s">
        <v>109</v>
      </c>
      <c r="B546" s="5" t="s">
        <v>90</v>
      </c>
      <c r="C546" s="5" t="s">
        <v>745</v>
      </c>
      <c r="D546" s="5" t="s">
        <v>733</v>
      </c>
      <c r="E546" s="5" t="s">
        <v>116</v>
      </c>
      <c r="F546" s="10" t="n">
        <f aca="false">SUMIFS(Salidas_REM!$I:$I,Salidas_REM!$D:$D,A546,Salidas_REM!$F:$F,C546,Salidas_REM!$B:$B,$B$1,Salidas_REM!$C:$C,"Realizada")</f>
        <v>0</v>
      </c>
    </row>
    <row r="547" customFormat="false" ht="15" hidden="false" customHeight="false" outlineLevel="0" collapsed="false">
      <c r="A547" s="5" t="s">
        <v>109</v>
      </c>
      <c r="B547" s="5" t="s">
        <v>90</v>
      </c>
      <c r="C547" s="5" t="s">
        <v>746</v>
      </c>
      <c r="D547" s="5" t="s">
        <v>733</v>
      </c>
      <c r="E547" s="5" t="s">
        <v>544</v>
      </c>
      <c r="F547" s="10" t="n">
        <f aca="false">SUMIFS(Salidas_REM!$I:$I,Salidas_REM!$D:$D,A547,Salidas_REM!$F:$F,C547,Salidas_REM!$B:$B,$B$1,Salidas_REM!$C:$C,"Realizada")</f>
        <v>0</v>
      </c>
    </row>
    <row r="548" customFormat="false" ht="15" hidden="false" customHeight="false" outlineLevel="0" collapsed="false">
      <c r="A548" s="5" t="s">
        <v>109</v>
      </c>
      <c r="B548" s="5" t="s">
        <v>90</v>
      </c>
      <c r="C548" s="5" t="s">
        <v>747</v>
      </c>
      <c r="D548" s="5" t="s">
        <v>733</v>
      </c>
      <c r="E548" s="5" t="s">
        <v>546</v>
      </c>
      <c r="F548" s="10" t="n">
        <f aca="false">SUMIFS(Salidas_REM!$I:$I,Salidas_REM!$D:$D,A548,Salidas_REM!$F:$F,C548,Salidas_REM!$B:$B,$B$1,Salidas_REM!$C:$C,"Realizada")</f>
        <v>0</v>
      </c>
    </row>
    <row r="549" customFormat="false" ht="15" hidden="false" customHeight="false" outlineLevel="0" collapsed="false">
      <c r="A549" s="5" t="s">
        <v>109</v>
      </c>
      <c r="B549" s="5" t="s">
        <v>90</v>
      </c>
      <c r="C549" s="5" t="s">
        <v>748</v>
      </c>
      <c r="D549" s="5" t="s">
        <v>733</v>
      </c>
      <c r="E549" s="5" t="s">
        <v>548</v>
      </c>
      <c r="F549" s="10" t="n">
        <f aca="false">SUMIFS(Salidas_REM!$I:$I,Salidas_REM!$D:$D,A549,Salidas_REM!$F:$F,C549,Salidas_REM!$B:$B,$B$1,Salidas_REM!$C:$C,"Realizada")</f>
        <v>0</v>
      </c>
    </row>
    <row r="550" customFormat="false" ht="15" hidden="false" customHeight="false" outlineLevel="0" collapsed="false">
      <c r="A550" s="5" t="s">
        <v>109</v>
      </c>
      <c r="B550" s="5" t="s">
        <v>90</v>
      </c>
      <c r="C550" s="5" t="s">
        <v>749</v>
      </c>
      <c r="D550" s="5" t="s">
        <v>733</v>
      </c>
      <c r="E550" s="5" t="s">
        <v>550</v>
      </c>
      <c r="F550" s="10" t="n">
        <f aca="false">SUMIFS(Salidas_REM!$I:$I,Salidas_REM!$D:$D,A550,Salidas_REM!$F:$F,C550,Salidas_REM!$B:$B,$B$1,Salidas_REM!$C:$C,"Realizada")</f>
        <v>0</v>
      </c>
    </row>
    <row r="551" customFormat="false" ht="15" hidden="false" customHeight="false" outlineLevel="0" collapsed="false">
      <c r="A551" s="5" t="s">
        <v>109</v>
      </c>
      <c r="B551" s="5" t="s">
        <v>90</v>
      </c>
      <c r="C551" s="5" t="s">
        <v>750</v>
      </c>
      <c r="D551" s="5" t="s">
        <v>733</v>
      </c>
      <c r="E551" s="5" t="s">
        <v>118</v>
      </c>
      <c r="F551" s="10" t="n">
        <f aca="false">SUMIFS(Salidas_REM!$I:$I,Salidas_REM!$D:$D,A551,Salidas_REM!$F:$F,C551,Salidas_REM!$B:$B,$B$1,Salidas_REM!$C:$C,"Realizada")</f>
        <v>0</v>
      </c>
    </row>
    <row r="552" customFormat="false" ht="15" hidden="false" customHeight="false" outlineLevel="0" collapsed="false">
      <c r="A552" s="5" t="s">
        <v>109</v>
      </c>
      <c r="B552" s="5" t="s">
        <v>90</v>
      </c>
      <c r="C552" s="5" t="s">
        <v>751</v>
      </c>
      <c r="D552" s="5" t="s">
        <v>733</v>
      </c>
      <c r="E552" s="5" t="s">
        <v>120</v>
      </c>
      <c r="F552" s="10" t="n">
        <f aca="false">SUMIFS(Salidas_REM!$I:$I,Salidas_REM!$D:$D,A552,Salidas_REM!$F:$F,C552,Salidas_REM!$B:$B,$B$1,Salidas_REM!$C:$C,"Realizada")</f>
        <v>0</v>
      </c>
    </row>
    <row r="553" customFormat="false" ht="15" hidden="false" customHeight="false" outlineLevel="0" collapsed="false">
      <c r="A553" s="5" t="s">
        <v>109</v>
      </c>
      <c r="B553" s="5" t="s">
        <v>90</v>
      </c>
      <c r="C553" s="5" t="s">
        <v>752</v>
      </c>
      <c r="D553" s="5" t="s">
        <v>733</v>
      </c>
      <c r="E553" s="5" t="s">
        <v>554</v>
      </c>
      <c r="F553" s="10" t="n">
        <f aca="false">SUMIFS(Salidas_REM!$I:$I,Salidas_REM!$D:$D,A553,Salidas_REM!$F:$F,C553,Salidas_REM!$B:$B,$B$1,Salidas_REM!$C:$C,"Realizada")</f>
        <v>0</v>
      </c>
    </row>
    <row r="554" customFormat="false" ht="15" hidden="false" customHeight="false" outlineLevel="0" collapsed="false">
      <c r="A554" s="5" t="s">
        <v>109</v>
      </c>
      <c r="B554" s="5" t="s">
        <v>90</v>
      </c>
      <c r="C554" s="5" t="s">
        <v>753</v>
      </c>
      <c r="D554" s="5" t="s">
        <v>754</v>
      </c>
      <c r="E554" s="5" t="s">
        <v>522</v>
      </c>
      <c r="F554" s="10" t="n">
        <f aca="false">SUMIFS(Salidas_REM!$I:$I,Salidas_REM!$D:$D,A554,Salidas_REM!$F:$F,C554,Salidas_REM!$B:$B,$B$1,Salidas_REM!$C:$C,"Realizada")</f>
        <v>0</v>
      </c>
    </row>
    <row r="555" customFormat="false" ht="15" hidden="false" customHeight="false" outlineLevel="0" collapsed="false">
      <c r="A555" s="5" t="s">
        <v>109</v>
      </c>
      <c r="B555" s="5" t="s">
        <v>90</v>
      </c>
      <c r="C555" s="5" t="s">
        <v>755</v>
      </c>
      <c r="D555" s="5" t="s">
        <v>754</v>
      </c>
      <c r="E555" s="5" t="s">
        <v>524</v>
      </c>
      <c r="F555" s="10" t="n">
        <f aca="false">SUMIFS(Salidas_REM!$I:$I,Salidas_REM!$D:$D,A555,Salidas_REM!$F:$F,C555,Salidas_REM!$B:$B,$B$1,Salidas_REM!$C:$C,"Realizada")</f>
        <v>0</v>
      </c>
    </row>
    <row r="556" customFormat="false" ht="15" hidden="false" customHeight="false" outlineLevel="0" collapsed="false">
      <c r="A556" s="5" t="s">
        <v>109</v>
      </c>
      <c r="B556" s="5" t="s">
        <v>90</v>
      </c>
      <c r="C556" s="5" t="s">
        <v>756</v>
      </c>
      <c r="D556" s="5" t="s">
        <v>754</v>
      </c>
      <c r="E556" s="5" t="s">
        <v>526</v>
      </c>
      <c r="F556" s="10" t="n">
        <f aca="false">SUMIFS(Salidas_REM!$I:$I,Salidas_REM!$D:$D,A556,Salidas_REM!$F:$F,C556,Salidas_REM!$B:$B,$B$1,Salidas_REM!$C:$C,"Realizada")</f>
        <v>0</v>
      </c>
    </row>
    <row r="557" customFormat="false" ht="15" hidden="false" customHeight="false" outlineLevel="0" collapsed="false">
      <c r="A557" s="5" t="s">
        <v>109</v>
      </c>
      <c r="B557" s="5" t="s">
        <v>90</v>
      </c>
      <c r="C557" s="5" t="s">
        <v>757</v>
      </c>
      <c r="D557" s="5" t="s">
        <v>754</v>
      </c>
      <c r="E557" s="5" t="s">
        <v>528</v>
      </c>
      <c r="F557" s="10" t="n">
        <f aca="false">SUMIFS(Salidas_REM!$I:$I,Salidas_REM!$D:$D,A557,Salidas_REM!$F:$F,C557,Salidas_REM!$B:$B,$B$1,Salidas_REM!$C:$C,"Realizada")</f>
        <v>0</v>
      </c>
    </row>
    <row r="558" customFormat="false" ht="15" hidden="false" customHeight="false" outlineLevel="0" collapsed="false">
      <c r="A558" s="5" t="s">
        <v>109</v>
      </c>
      <c r="B558" s="5" t="s">
        <v>90</v>
      </c>
      <c r="C558" s="5" t="s">
        <v>758</v>
      </c>
      <c r="D558" s="5" t="s">
        <v>754</v>
      </c>
      <c r="E558" s="5" t="s">
        <v>530</v>
      </c>
      <c r="F558" s="10" t="n">
        <f aca="false">SUMIFS(Salidas_REM!$I:$I,Salidas_REM!$D:$D,A558,Salidas_REM!$F:$F,C558,Salidas_REM!$B:$B,$B$1,Salidas_REM!$C:$C,"Realizada")</f>
        <v>0</v>
      </c>
    </row>
    <row r="559" customFormat="false" ht="15" hidden="false" customHeight="false" outlineLevel="0" collapsed="false">
      <c r="A559" s="5" t="s">
        <v>109</v>
      </c>
      <c r="B559" s="5" t="s">
        <v>90</v>
      </c>
      <c r="C559" s="5" t="s">
        <v>759</v>
      </c>
      <c r="D559" s="5" t="s">
        <v>754</v>
      </c>
      <c r="E559" s="5" t="s">
        <v>112</v>
      </c>
      <c r="F559" s="10" t="n">
        <f aca="false">SUMIFS(Salidas_REM!$I:$I,Salidas_REM!$D:$D,A559,Salidas_REM!$F:$F,C559,Salidas_REM!$B:$B,$B$1,Salidas_REM!$C:$C,"Realizada")</f>
        <v>0</v>
      </c>
    </row>
    <row r="560" customFormat="false" ht="15" hidden="false" customHeight="false" outlineLevel="0" collapsed="false">
      <c r="A560" s="5" t="s">
        <v>109</v>
      </c>
      <c r="B560" s="5" t="s">
        <v>90</v>
      </c>
      <c r="C560" s="5" t="s">
        <v>760</v>
      </c>
      <c r="D560" s="5" t="s">
        <v>754</v>
      </c>
      <c r="E560" s="5" t="s">
        <v>533</v>
      </c>
      <c r="F560" s="10" t="n">
        <f aca="false">SUMIFS(Salidas_REM!$I:$I,Salidas_REM!$D:$D,A560,Salidas_REM!$F:$F,C560,Salidas_REM!$B:$B,$B$1,Salidas_REM!$C:$C,"Realizada")</f>
        <v>0</v>
      </c>
    </row>
    <row r="561" customFormat="false" ht="15" hidden="false" customHeight="false" outlineLevel="0" collapsed="false">
      <c r="A561" s="5" t="s">
        <v>109</v>
      </c>
      <c r="B561" s="5" t="s">
        <v>90</v>
      </c>
      <c r="C561" s="5" t="s">
        <v>761</v>
      </c>
      <c r="D561" s="5" t="s">
        <v>754</v>
      </c>
      <c r="E561" s="5" t="s">
        <v>123</v>
      </c>
      <c r="F561" s="10" t="n">
        <f aca="false">SUMIFS(Salidas_REM!$I:$I,Salidas_REM!$D:$D,A561,Salidas_REM!$F:$F,C561,Salidas_REM!$B:$B,$B$1,Salidas_REM!$C:$C,"Realizada")</f>
        <v>0</v>
      </c>
    </row>
    <row r="562" customFormat="false" ht="15" hidden="false" customHeight="false" outlineLevel="0" collapsed="false">
      <c r="A562" s="5" t="s">
        <v>109</v>
      </c>
      <c r="B562" s="5" t="s">
        <v>90</v>
      </c>
      <c r="C562" s="5" t="s">
        <v>762</v>
      </c>
      <c r="D562" s="5" t="s">
        <v>754</v>
      </c>
      <c r="E562" s="5" t="s">
        <v>536</v>
      </c>
      <c r="F562" s="10" t="n">
        <f aca="false">SUMIFS(Salidas_REM!$I:$I,Salidas_REM!$D:$D,A562,Salidas_REM!$F:$F,C562,Salidas_REM!$B:$B,$B$1,Salidas_REM!$C:$C,"Realizada")</f>
        <v>0</v>
      </c>
    </row>
    <row r="563" customFormat="false" ht="15" hidden="false" customHeight="false" outlineLevel="0" collapsed="false">
      <c r="A563" s="5" t="s">
        <v>109</v>
      </c>
      <c r="B563" s="5" t="s">
        <v>90</v>
      </c>
      <c r="C563" s="5" t="s">
        <v>763</v>
      </c>
      <c r="D563" s="5" t="s">
        <v>754</v>
      </c>
      <c r="E563" s="5" t="s">
        <v>538</v>
      </c>
      <c r="F563" s="10" t="n">
        <f aca="false">SUMIFS(Salidas_REM!$I:$I,Salidas_REM!$D:$D,A563,Salidas_REM!$F:$F,C563,Salidas_REM!$B:$B,$B$1,Salidas_REM!$C:$C,"Realizada")</f>
        <v>0</v>
      </c>
    </row>
    <row r="564" customFormat="false" ht="15" hidden="false" customHeight="false" outlineLevel="0" collapsed="false">
      <c r="A564" s="5" t="s">
        <v>109</v>
      </c>
      <c r="B564" s="5" t="s">
        <v>90</v>
      </c>
      <c r="C564" s="5" t="s">
        <v>764</v>
      </c>
      <c r="D564" s="5" t="s">
        <v>754</v>
      </c>
      <c r="E564" s="5" t="s">
        <v>540</v>
      </c>
      <c r="F564" s="10" t="n">
        <f aca="false">SUMIFS(Salidas_REM!$I:$I,Salidas_REM!$D:$D,A564,Salidas_REM!$F:$F,C564,Salidas_REM!$B:$B,$B$1,Salidas_REM!$C:$C,"Realizada")</f>
        <v>0</v>
      </c>
    </row>
    <row r="565" customFormat="false" ht="15" hidden="false" customHeight="false" outlineLevel="0" collapsed="false">
      <c r="A565" s="5" t="s">
        <v>109</v>
      </c>
      <c r="B565" s="5" t="s">
        <v>90</v>
      </c>
      <c r="C565" s="5" t="s">
        <v>765</v>
      </c>
      <c r="D565" s="5" t="s">
        <v>754</v>
      </c>
      <c r="E565" s="5" t="s">
        <v>114</v>
      </c>
      <c r="F565" s="10" t="n">
        <f aca="false">SUMIFS(Salidas_REM!$I:$I,Salidas_REM!$D:$D,A565,Salidas_REM!$F:$F,C565,Salidas_REM!$B:$B,$B$1,Salidas_REM!$C:$C,"Realizada")</f>
        <v>0</v>
      </c>
    </row>
    <row r="566" customFormat="false" ht="15" hidden="false" customHeight="false" outlineLevel="0" collapsed="false">
      <c r="A566" s="5" t="s">
        <v>109</v>
      </c>
      <c r="B566" s="5" t="s">
        <v>90</v>
      </c>
      <c r="C566" s="5" t="s">
        <v>766</v>
      </c>
      <c r="D566" s="5" t="s">
        <v>754</v>
      </c>
      <c r="E566" s="5" t="s">
        <v>116</v>
      </c>
      <c r="F566" s="10" t="n">
        <f aca="false">SUMIFS(Salidas_REM!$I:$I,Salidas_REM!$D:$D,A566,Salidas_REM!$F:$F,C566,Salidas_REM!$B:$B,$B$1,Salidas_REM!$C:$C,"Realizada")</f>
        <v>0</v>
      </c>
    </row>
    <row r="567" customFormat="false" ht="15" hidden="false" customHeight="false" outlineLevel="0" collapsed="false">
      <c r="A567" s="5" t="s">
        <v>109</v>
      </c>
      <c r="B567" s="5" t="s">
        <v>90</v>
      </c>
      <c r="C567" s="5" t="s">
        <v>767</v>
      </c>
      <c r="D567" s="5" t="s">
        <v>754</v>
      </c>
      <c r="E567" s="5" t="s">
        <v>544</v>
      </c>
      <c r="F567" s="10" t="n">
        <f aca="false">SUMIFS(Salidas_REM!$I:$I,Salidas_REM!$D:$D,A567,Salidas_REM!$F:$F,C567,Salidas_REM!$B:$B,$B$1,Salidas_REM!$C:$C,"Realizada")</f>
        <v>0</v>
      </c>
    </row>
    <row r="568" customFormat="false" ht="15" hidden="false" customHeight="false" outlineLevel="0" collapsed="false">
      <c r="A568" s="5" t="s">
        <v>109</v>
      </c>
      <c r="B568" s="5" t="s">
        <v>90</v>
      </c>
      <c r="C568" s="5" t="s">
        <v>768</v>
      </c>
      <c r="D568" s="5" t="s">
        <v>754</v>
      </c>
      <c r="E568" s="5" t="s">
        <v>546</v>
      </c>
      <c r="F568" s="10" t="n">
        <f aca="false">SUMIFS(Salidas_REM!$I:$I,Salidas_REM!$D:$D,A568,Salidas_REM!$F:$F,C568,Salidas_REM!$B:$B,$B$1,Salidas_REM!$C:$C,"Realizada")</f>
        <v>0</v>
      </c>
    </row>
    <row r="569" customFormat="false" ht="15" hidden="false" customHeight="false" outlineLevel="0" collapsed="false">
      <c r="A569" s="5" t="s">
        <v>109</v>
      </c>
      <c r="B569" s="5" t="s">
        <v>90</v>
      </c>
      <c r="C569" s="5" t="s">
        <v>769</v>
      </c>
      <c r="D569" s="5" t="s">
        <v>754</v>
      </c>
      <c r="E569" s="5" t="s">
        <v>548</v>
      </c>
      <c r="F569" s="10" t="n">
        <f aca="false">SUMIFS(Salidas_REM!$I:$I,Salidas_REM!$D:$D,A569,Salidas_REM!$F:$F,C569,Salidas_REM!$B:$B,$B$1,Salidas_REM!$C:$C,"Realizada")</f>
        <v>0</v>
      </c>
    </row>
    <row r="570" customFormat="false" ht="15" hidden="false" customHeight="false" outlineLevel="0" collapsed="false">
      <c r="A570" s="5" t="s">
        <v>109</v>
      </c>
      <c r="B570" s="5" t="s">
        <v>90</v>
      </c>
      <c r="C570" s="5" t="s">
        <v>770</v>
      </c>
      <c r="D570" s="5" t="s">
        <v>754</v>
      </c>
      <c r="E570" s="5" t="s">
        <v>550</v>
      </c>
      <c r="F570" s="10" t="n">
        <f aca="false">SUMIFS(Salidas_REM!$I:$I,Salidas_REM!$D:$D,A570,Salidas_REM!$F:$F,C570,Salidas_REM!$B:$B,$B$1,Salidas_REM!$C:$C,"Realizada")</f>
        <v>0</v>
      </c>
    </row>
    <row r="571" customFormat="false" ht="15" hidden="false" customHeight="false" outlineLevel="0" collapsed="false">
      <c r="A571" s="5" t="s">
        <v>109</v>
      </c>
      <c r="B571" s="5" t="s">
        <v>90</v>
      </c>
      <c r="C571" s="5" t="s">
        <v>771</v>
      </c>
      <c r="D571" s="5" t="s">
        <v>754</v>
      </c>
      <c r="E571" s="5" t="s">
        <v>118</v>
      </c>
      <c r="F571" s="10" t="n">
        <f aca="false">SUMIFS(Salidas_REM!$I:$I,Salidas_REM!$D:$D,A571,Salidas_REM!$F:$F,C571,Salidas_REM!$B:$B,$B$1,Salidas_REM!$C:$C,"Realizada")</f>
        <v>0</v>
      </c>
    </row>
    <row r="572" customFormat="false" ht="15" hidden="false" customHeight="false" outlineLevel="0" collapsed="false">
      <c r="A572" s="5" t="s">
        <v>109</v>
      </c>
      <c r="B572" s="5" t="s">
        <v>90</v>
      </c>
      <c r="C572" s="5" t="s">
        <v>772</v>
      </c>
      <c r="D572" s="5" t="s">
        <v>754</v>
      </c>
      <c r="E572" s="5" t="s">
        <v>120</v>
      </c>
      <c r="F572" s="10" t="n">
        <f aca="false">SUMIFS(Salidas_REM!$I:$I,Salidas_REM!$D:$D,A572,Salidas_REM!$F:$F,C572,Salidas_REM!$B:$B,$B$1,Salidas_REM!$C:$C,"Realizada")</f>
        <v>0</v>
      </c>
    </row>
    <row r="573" customFormat="false" ht="15" hidden="false" customHeight="false" outlineLevel="0" collapsed="false">
      <c r="A573" s="5" t="s">
        <v>109</v>
      </c>
      <c r="B573" s="5" t="s">
        <v>90</v>
      </c>
      <c r="C573" s="5" t="s">
        <v>773</v>
      </c>
      <c r="D573" s="5" t="s">
        <v>754</v>
      </c>
      <c r="E573" s="5" t="s">
        <v>554</v>
      </c>
      <c r="F573" s="10" t="n">
        <f aca="false">SUMIFS(Salidas_REM!$I:$I,Salidas_REM!$D:$D,A573,Salidas_REM!$F:$F,C573,Salidas_REM!$B:$B,$B$1,Salidas_REM!$C:$C,"Realizada")</f>
        <v>0</v>
      </c>
    </row>
    <row r="574" customFormat="false" ht="15" hidden="false" customHeight="false" outlineLevel="0" collapsed="false">
      <c r="A574" s="5" t="s">
        <v>109</v>
      </c>
      <c r="B574" s="5" t="s">
        <v>105</v>
      </c>
      <c r="C574" s="5" t="s">
        <v>774</v>
      </c>
      <c r="D574" s="5" t="s">
        <v>775</v>
      </c>
      <c r="E574" s="5" t="s">
        <v>130</v>
      </c>
      <c r="F574" s="10" t="n">
        <f aca="false">SUMIFS(Salidas_REM!$I:$I,Salidas_REM!$D:$D,A574,Salidas_REM!$F:$F,C574,Salidas_REM!$B:$B,$B$1,Salidas_REM!$C:$C,"Realizada")</f>
        <v>0</v>
      </c>
    </row>
    <row r="575" customFormat="false" ht="15" hidden="false" customHeight="false" outlineLevel="0" collapsed="false">
      <c r="A575" s="5" t="s">
        <v>109</v>
      </c>
      <c r="B575" s="5" t="s">
        <v>105</v>
      </c>
      <c r="C575" s="5" t="s">
        <v>776</v>
      </c>
      <c r="D575" s="5" t="s">
        <v>775</v>
      </c>
      <c r="E575" s="5" t="s">
        <v>114</v>
      </c>
      <c r="F575" s="10" t="n">
        <f aca="false">SUMIFS(Salidas_REM!$I:$I,Salidas_REM!$D:$D,A575,Salidas_REM!$F:$F,C575,Salidas_REM!$B:$B,$B$1,Salidas_REM!$C:$C,"Realizada")</f>
        <v>0</v>
      </c>
    </row>
    <row r="576" customFormat="false" ht="15" hidden="false" customHeight="false" outlineLevel="0" collapsed="false">
      <c r="A576" s="5" t="s">
        <v>109</v>
      </c>
      <c r="B576" s="5" t="s">
        <v>105</v>
      </c>
      <c r="C576" s="5" t="s">
        <v>777</v>
      </c>
      <c r="D576" s="5" t="s">
        <v>775</v>
      </c>
      <c r="E576" s="5" t="s">
        <v>116</v>
      </c>
      <c r="F576" s="10" t="n">
        <f aca="false">SUMIFS(Salidas_REM!$I:$I,Salidas_REM!$D:$D,A576,Salidas_REM!$F:$F,C576,Salidas_REM!$B:$B,$B$1,Salidas_REM!$C:$C,"Realizada")</f>
        <v>0</v>
      </c>
    </row>
    <row r="577" customFormat="false" ht="15" hidden="false" customHeight="false" outlineLevel="0" collapsed="false">
      <c r="A577" s="5" t="s">
        <v>109</v>
      </c>
      <c r="B577" s="5" t="s">
        <v>105</v>
      </c>
      <c r="C577" s="5" t="s">
        <v>778</v>
      </c>
      <c r="D577" s="5" t="s">
        <v>775</v>
      </c>
      <c r="E577" s="5" t="s">
        <v>544</v>
      </c>
      <c r="F577" s="10" t="n">
        <f aca="false">SUMIFS(Salidas_REM!$I:$I,Salidas_REM!$D:$D,A577,Salidas_REM!$F:$F,C577,Salidas_REM!$B:$B,$B$1,Salidas_REM!$C:$C,"Realizada")</f>
        <v>0</v>
      </c>
    </row>
    <row r="578" customFormat="false" ht="15" hidden="false" customHeight="false" outlineLevel="0" collapsed="false">
      <c r="A578" s="5" t="s">
        <v>109</v>
      </c>
      <c r="B578" s="5" t="s">
        <v>105</v>
      </c>
      <c r="C578" s="5" t="s">
        <v>779</v>
      </c>
      <c r="D578" s="5" t="s">
        <v>775</v>
      </c>
      <c r="E578" s="5" t="s">
        <v>546</v>
      </c>
      <c r="F578" s="10" t="n">
        <f aca="false">SUMIFS(Salidas_REM!$I:$I,Salidas_REM!$D:$D,A578,Salidas_REM!$F:$F,C578,Salidas_REM!$B:$B,$B$1,Salidas_REM!$C:$C,"Realizada")</f>
        <v>0</v>
      </c>
    </row>
    <row r="579" customFormat="false" ht="15" hidden="false" customHeight="false" outlineLevel="0" collapsed="false">
      <c r="A579" s="5" t="s">
        <v>109</v>
      </c>
      <c r="B579" s="5" t="s">
        <v>105</v>
      </c>
      <c r="C579" s="5" t="s">
        <v>780</v>
      </c>
      <c r="D579" s="5" t="s">
        <v>775</v>
      </c>
      <c r="E579" s="5" t="s">
        <v>548</v>
      </c>
      <c r="F579" s="10" t="n">
        <f aca="false">SUMIFS(Salidas_REM!$I:$I,Salidas_REM!$D:$D,A579,Salidas_REM!$F:$F,C579,Salidas_REM!$B:$B,$B$1,Salidas_REM!$C:$C,"Realizada")</f>
        <v>0</v>
      </c>
    </row>
    <row r="580" customFormat="false" ht="15" hidden="false" customHeight="false" outlineLevel="0" collapsed="false">
      <c r="A580" s="5" t="s">
        <v>109</v>
      </c>
      <c r="B580" s="5" t="s">
        <v>105</v>
      </c>
      <c r="C580" s="5" t="s">
        <v>781</v>
      </c>
      <c r="D580" s="5" t="s">
        <v>775</v>
      </c>
      <c r="E580" s="5" t="s">
        <v>550</v>
      </c>
      <c r="F580" s="10" t="n">
        <f aca="false">SUMIFS(Salidas_REM!$I:$I,Salidas_REM!$D:$D,A580,Salidas_REM!$F:$F,C580,Salidas_REM!$B:$B,$B$1,Salidas_REM!$C:$C,"Realizada")</f>
        <v>0</v>
      </c>
    </row>
    <row r="581" customFormat="false" ht="15" hidden="false" customHeight="false" outlineLevel="0" collapsed="false">
      <c r="A581" s="5" t="s">
        <v>109</v>
      </c>
      <c r="B581" s="5" t="s">
        <v>105</v>
      </c>
      <c r="C581" s="5" t="s">
        <v>782</v>
      </c>
      <c r="D581" s="5" t="s">
        <v>775</v>
      </c>
      <c r="E581" s="5" t="s">
        <v>118</v>
      </c>
      <c r="F581" s="10" t="n">
        <f aca="false">SUMIFS(Salidas_REM!$I:$I,Salidas_REM!$D:$D,A581,Salidas_REM!$F:$F,C581,Salidas_REM!$B:$B,$B$1,Salidas_REM!$C:$C,"Realizada")</f>
        <v>0</v>
      </c>
    </row>
    <row r="582" customFormat="false" ht="15" hidden="false" customHeight="false" outlineLevel="0" collapsed="false">
      <c r="A582" s="5" t="s">
        <v>109</v>
      </c>
      <c r="B582" s="5" t="s">
        <v>105</v>
      </c>
      <c r="C582" s="5" t="s">
        <v>783</v>
      </c>
      <c r="D582" s="5" t="s">
        <v>775</v>
      </c>
      <c r="E582" s="5" t="s">
        <v>120</v>
      </c>
      <c r="F582" s="10" t="n">
        <f aca="false">SUMIFS(Salidas_REM!$I:$I,Salidas_REM!$D:$D,A582,Salidas_REM!$F:$F,C582,Salidas_REM!$B:$B,$B$1,Salidas_REM!$C:$C,"Realizada")</f>
        <v>0</v>
      </c>
    </row>
    <row r="583" customFormat="false" ht="15" hidden="false" customHeight="false" outlineLevel="0" collapsed="false">
      <c r="A583" s="5" t="s">
        <v>109</v>
      </c>
      <c r="B583" s="5" t="s">
        <v>105</v>
      </c>
      <c r="C583" s="5" t="s">
        <v>784</v>
      </c>
      <c r="D583" s="5" t="s">
        <v>775</v>
      </c>
      <c r="E583" s="5" t="s">
        <v>554</v>
      </c>
      <c r="F583" s="10" t="n">
        <f aca="false">SUMIFS(Salidas_REM!$I:$I,Salidas_REM!$D:$D,A583,Salidas_REM!$F:$F,C583,Salidas_REM!$B:$B,$B$1,Salidas_REM!$C:$C,"Realizada")</f>
        <v>0</v>
      </c>
    </row>
    <row r="584" customFormat="false" ht="15" hidden="false" customHeight="false" outlineLevel="0" collapsed="false">
      <c r="A584" s="5" t="s">
        <v>109</v>
      </c>
      <c r="B584" s="5" t="s">
        <v>105</v>
      </c>
      <c r="C584" s="5" t="s">
        <v>785</v>
      </c>
      <c r="D584" s="5" t="s">
        <v>786</v>
      </c>
      <c r="E584" s="5" t="s">
        <v>130</v>
      </c>
      <c r="F584" s="10" t="n">
        <f aca="false">SUMIFS(Salidas_REM!$I:$I,Salidas_REM!$D:$D,A584,Salidas_REM!$F:$F,C584,Salidas_REM!$B:$B,$B$1,Salidas_REM!$C:$C,"Realizada")</f>
        <v>0</v>
      </c>
    </row>
    <row r="585" customFormat="false" ht="15" hidden="false" customHeight="false" outlineLevel="0" collapsed="false">
      <c r="A585" s="5" t="s">
        <v>109</v>
      </c>
      <c r="B585" s="5" t="s">
        <v>105</v>
      </c>
      <c r="C585" s="5" t="s">
        <v>787</v>
      </c>
      <c r="D585" s="5" t="s">
        <v>786</v>
      </c>
      <c r="E585" s="5" t="s">
        <v>114</v>
      </c>
      <c r="F585" s="10" t="n">
        <f aca="false">SUMIFS(Salidas_REM!$I:$I,Salidas_REM!$D:$D,A585,Salidas_REM!$F:$F,C585,Salidas_REM!$B:$B,$B$1,Salidas_REM!$C:$C,"Realizada")</f>
        <v>0</v>
      </c>
    </row>
    <row r="586" customFormat="false" ht="15" hidden="false" customHeight="false" outlineLevel="0" collapsed="false">
      <c r="A586" s="5" t="s">
        <v>109</v>
      </c>
      <c r="B586" s="5" t="s">
        <v>105</v>
      </c>
      <c r="C586" s="5" t="s">
        <v>788</v>
      </c>
      <c r="D586" s="5" t="s">
        <v>786</v>
      </c>
      <c r="E586" s="5" t="s">
        <v>116</v>
      </c>
      <c r="F586" s="10" t="n">
        <f aca="false">SUMIFS(Salidas_REM!$I:$I,Salidas_REM!$D:$D,A586,Salidas_REM!$F:$F,C586,Salidas_REM!$B:$B,$B$1,Salidas_REM!$C:$C,"Realizada")</f>
        <v>0</v>
      </c>
    </row>
    <row r="587" customFormat="false" ht="15" hidden="false" customHeight="false" outlineLevel="0" collapsed="false">
      <c r="A587" s="5" t="s">
        <v>109</v>
      </c>
      <c r="B587" s="5" t="s">
        <v>105</v>
      </c>
      <c r="C587" s="5" t="s">
        <v>789</v>
      </c>
      <c r="D587" s="5" t="s">
        <v>786</v>
      </c>
      <c r="E587" s="5" t="s">
        <v>544</v>
      </c>
      <c r="F587" s="10" t="n">
        <f aca="false">SUMIFS(Salidas_REM!$I:$I,Salidas_REM!$D:$D,A587,Salidas_REM!$F:$F,C587,Salidas_REM!$B:$B,$B$1,Salidas_REM!$C:$C,"Realizada")</f>
        <v>0</v>
      </c>
    </row>
    <row r="588" customFormat="false" ht="15" hidden="false" customHeight="false" outlineLevel="0" collapsed="false">
      <c r="A588" s="5" t="s">
        <v>109</v>
      </c>
      <c r="B588" s="5" t="s">
        <v>105</v>
      </c>
      <c r="C588" s="5" t="s">
        <v>790</v>
      </c>
      <c r="D588" s="5" t="s">
        <v>786</v>
      </c>
      <c r="E588" s="5" t="s">
        <v>546</v>
      </c>
      <c r="F588" s="10" t="n">
        <f aca="false">SUMIFS(Salidas_REM!$I:$I,Salidas_REM!$D:$D,A588,Salidas_REM!$F:$F,C588,Salidas_REM!$B:$B,$B$1,Salidas_REM!$C:$C,"Realizada")</f>
        <v>0</v>
      </c>
    </row>
    <row r="589" customFormat="false" ht="15" hidden="false" customHeight="false" outlineLevel="0" collapsed="false">
      <c r="A589" s="5" t="s">
        <v>109</v>
      </c>
      <c r="B589" s="5" t="s">
        <v>105</v>
      </c>
      <c r="C589" s="5" t="s">
        <v>791</v>
      </c>
      <c r="D589" s="5" t="s">
        <v>786</v>
      </c>
      <c r="E589" s="5" t="s">
        <v>548</v>
      </c>
      <c r="F589" s="10" t="n">
        <f aca="false">SUMIFS(Salidas_REM!$I:$I,Salidas_REM!$D:$D,A589,Salidas_REM!$F:$F,C589,Salidas_REM!$B:$B,$B$1,Salidas_REM!$C:$C,"Realizada")</f>
        <v>0</v>
      </c>
    </row>
    <row r="590" customFormat="false" ht="15" hidden="false" customHeight="false" outlineLevel="0" collapsed="false">
      <c r="A590" s="5" t="s">
        <v>109</v>
      </c>
      <c r="B590" s="5" t="s">
        <v>105</v>
      </c>
      <c r="C590" s="5" t="s">
        <v>792</v>
      </c>
      <c r="D590" s="5" t="s">
        <v>786</v>
      </c>
      <c r="E590" s="5" t="s">
        <v>550</v>
      </c>
      <c r="F590" s="10" t="n">
        <f aca="false">SUMIFS(Salidas_REM!$I:$I,Salidas_REM!$D:$D,A590,Salidas_REM!$F:$F,C590,Salidas_REM!$B:$B,$B$1,Salidas_REM!$C:$C,"Realizada")</f>
        <v>0</v>
      </c>
    </row>
    <row r="591" customFormat="false" ht="15" hidden="false" customHeight="false" outlineLevel="0" collapsed="false">
      <c r="A591" s="5" t="s">
        <v>109</v>
      </c>
      <c r="B591" s="5" t="s">
        <v>105</v>
      </c>
      <c r="C591" s="5" t="s">
        <v>793</v>
      </c>
      <c r="D591" s="5" t="s">
        <v>786</v>
      </c>
      <c r="E591" s="5" t="s">
        <v>118</v>
      </c>
      <c r="F591" s="10" t="n">
        <f aca="false">SUMIFS(Salidas_REM!$I:$I,Salidas_REM!$D:$D,A591,Salidas_REM!$F:$F,C591,Salidas_REM!$B:$B,$B$1,Salidas_REM!$C:$C,"Realizada")</f>
        <v>0</v>
      </c>
    </row>
    <row r="592" customFormat="false" ht="15" hidden="false" customHeight="false" outlineLevel="0" collapsed="false">
      <c r="A592" s="5" t="s">
        <v>109</v>
      </c>
      <c r="B592" s="5" t="s">
        <v>105</v>
      </c>
      <c r="C592" s="5" t="s">
        <v>794</v>
      </c>
      <c r="D592" s="5" t="s">
        <v>786</v>
      </c>
      <c r="E592" s="5" t="s">
        <v>120</v>
      </c>
      <c r="F592" s="10" t="n">
        <f aca="false">SUMIFS(Salidas_REM!$I:$I,Salidas_REM!$D:$D,A592,Salidas_REM!$F:$F,C592,Salidas_REM!$B:$B,$B$1,Salidas_REM!$C:$C,"Realizada")</f>
        <v>0</v>
      </c>
    </row>
    <row r="593" customFormat="false" ht="15" hidden="false" customHeight="false" outlineLevel="0" collapsed="false">
      <c r="A593" s="5" t="s">
        <v>109</v>
      </c>
      <c r="B593" s="5" t="s">
        <v>105</v>
      </c>
      <c r="C593" s="5" t="s">
        <v>795</v>
      </c>
      <c r="D593" s="5" t="s">
        <v>786</v>
      </c>
      <c r="E593" s="5" t="s">
        <v>554</v>
      </c>
      <c r="F593" s="10" t="n">
        <f aca="false">SUMIFS(Salidas_REM!$I:$I,Salidas_REM!$D:$D,A593,Salidas_REM!$F:$F,C593,Salidas_REM!$B:$B,$B$1,Salidas_REM!$C:$C,"Realizada")</f>
        <v>0</v>
      </c>
    </row>
    <row r="594" customFormat="false" ht="15" hidden="false" customHeight="false" outlineLevel="0" collapsed="false">
      <c r="A594" s="5" t="s">
        <v>109</v>
      </c>
      <c r="B594" s="5" t="s">
        <v>105</v>
      </c>
      <c r="C594" s="5" t="s">
        <v>796</v>
      </c>
      <c r="D594" s="5" t="s">
        <v>797</v>
      </c>
      <c r="E594" s="5" t="s">
        <v>130</v>
      </c>
      <c r="F594" s="10" t="n">
        <f aca="false">SUMIFS(Salidas_REM!$I:$I,Salidas_REM!$D:$D,A594,Salidas_REM!$F:$F,C594,Salidas_REM!$B:$B,$B$1,Salidas_REM!$C:$C,"Realizada")</f>
        <v>0</v>
      </c>
    </row>
    <row r="595" customFormat="false" ht="15" hidden="false" customHeight="false" outlineLevel="0" collapsed="false">
      <c r="A595" s="5" t="s">
        <v>109</v>
      </c>
      <c r="B595" s="5" t="s">
        <v>105</v>
      </c>
      <c r="C595" s="5" t="s">
        <v>798</v>
      </c>
      <c r="D595" s="5" t="s">
        <v>797</v>
      </c>
      <c r="E595" s="5" t="s">
        <v>114</v>
      </c>
      <c r="F595" s="10" t="n">
        <f aca="false">SUMIFS(Salidas_REM!$I:$I,Salidas_REM!$D:$D,A595,Salidas_REM!$F:$F,C595,Salidas_REM!$B:$B,$B$1,Salidas_REM!$C:$C,"Realizada")</f>
        <v>0</v>
      </c>
    </row>
    <row r="596" customFormat="false" ht="15" hidden="false" customHeight="false" outlineLevel="0" collapsed="false">
      <c r="A596" s="5" t="s">
        <v>109</v>
      </c>
      <c r="B596" s="5" t="s">
        <v>105</v>
      </c>
      <c r="C596" s="5" t="s">
        <v>799</v>
      </c>
      <c r="D596" s="5" t="s">
        <v>797</v>
      </c>
      <c r="E596" s="5" t="s">
        <v>116</v>
      </c>
      <c r="F596" s="10" t="n">
        <f aca="false">SUMIFS(Salidas_REM!$I:$I,Salidas_REM!$D:$D,A596,Salidas_REM!$F:$F,C596,Salidas_REM!$B:$B,$B$1,Salidas_REM!$C:$C,"Realizada")</f>
        <v>0</v>
      </c>
    </row>
    <row r="597" customFormat="false" ht="15" hidden="false" customHeight="false" outlineLevel="0" collapsed="false">
      <c r="A597" s="5" t="s">
        <v>109</v>
      </c>
      <c r="B597" s="5" t="s">
        <v>105</v>
      </c>
      <c r="C597" s="5" t="s">
        <v>800</v>
      </c>
      <c r="D597" s="5" t="s">
        <v>797</v>
      </c>
      <c r="E597" s="5" t="s">
        <v>544</v>
      </c>
      <c r="F597" s="10" t="n">
        <f aca="false">SUMIFS(Salidas_REM!$I:$I,Salidas_REM!$D:$D,A597,Salidas_REM!$F:$F,C597,Salidas_REM!$B:$B,$B$1,Salidas_REM!$C:$C,"Realizada")</f>
        <v>0</v>
      </c>
    </row>
    <row r="598" customFormat="false" ht="15" hidden="false" customHeight="false" outlineLevel="0" collapsed="false">
      <c r="A598" s="5" t="s">
        <v>109</v>
      </c>
      <c r="B598" s="5" t="s">
        <v>105</v>
      </c>
      <c r="C598" s="5" t="s">
        <v>801</v>
      </c>
      <c r="D598" s="5" t="s">
        <v>797</v>
      </c>
      <c r="E598" s="5" t="s">
        <v>546</v>
      </c>
      <c r="F598" s="10" t="n">
        <f aca="false">SUMIFS(Salidas_REM!$I:$I,Salidas_REM!$D:$D,A598,Salidas_REM!$F:$F,C598,Salidas_REM!$B:$B,$B$1,Salidas_REM!$C:$C,"Realizada")</f>
        <v>0</v>
      </c>
    </row>
    <row r="599" customFormat="false" ht="15" hidden="false" customHeight="false" outlineLevel="0" collapsed="false">
      <c r="A599" s="5" t="s">
        <v>109</v>
      </c>
      <c r="B599" s="5" t="s">
        <v>105</v>
      </c>
      <c r="C599" s="5" t="s">
        <v>802</v>
      </c>
      <c r="D599" s="5" t="s">
        <v>797</v>
      </c>
      <c r="E599" s="5" t="s">
        <v>548</v>
      </c>
      <c r="F599" s="10" t="n">
        <f aca="false">SUMIFS(Salidas_REM!$I:$I,Salidas_REM!$D:$D,A599,Salidas_REM!$F:$F,C599,Salidas_REM!$B:$B,$B$1,Salidas_REM!$C:$C,"Realizada")</f>
        <v>0</v>
      </c>
    </row>
    <row r="600" customFormat="false" ht="15" hidden="false" customHeight="false" outlineLevel="0" collapsed="false">
      <c r="A600" s="5" t="s">
        <v>109</v>
      </c>
      <c r="B600" s="5" t="s">
        <v>105</v>
      </c>
      <c r="C600" s="5" t="s">
        <v>803</v>
      </c>
      <c r="D600" s="5" t="s">
        <v>797</v>
      </c>
      <c r="E600" s="5" t="s">
        <v>550</v>
      </c>
      <c r="F600" s="10" t="n">
        <f aca="false">SUMIFS(Salidas_REM!$I:$I,Salidas_REM!$D:$D,A600,Salidas_REM!$F:$F,C600,Salidas_REM!$B:$B,$B$1,Salidas_REM!$C:$C,"Realizada")</f>
        <v>0</v>
      </c>
    </row>
    <row r="601" customFormat="false" ht="15" hidden="false" customHeight="false" outlineLevel="0" collapsed="false">
      <c r="A601" s="5" t="s">
        <v>109</v>
      </c>
      <c r="B601" s="5" t="s">
        <v>105</v>
      </c>
      <c r="C601" s="5" t="s">
        <v>804</v>
      </c>
      <c r="D601" s="5" t="s">
        <v>797</v>
      </c>
      <c r="E601" s="5" t="s">
        <v>118</v>
      </c>
      <c r="F601" s="10" t="n">
        <f aca="false">SUMIFS(Salidas_REM!$I:$I,Salidas_REM!$D:$D,A601,Salidas_REM!$F:$F,C601,Salidas_REM!$B:$B,$B$1,Salidas_REM!$C:$C,"Realizada")</f>
        <v>0</v>
      </c>
    </row>
    <row r="602" customFormat="false" ht="15" hidden="false" customHeight="false" outlineLevel="0" collapsed="false">
      <c r="A602" s="5" t="s">
        <v>109</v>
      </c>
      <c r="B602" s="5" t="s">
        <v>105</v>
      </c>
      <c r="C602" s="5" t="s">
        <v>805</v>
      </c>
      <c r="D602" s="5" t="s">
        <v>797</v>
      </c>
      <c r="E602" s="5" t="s">
        <v>120</v>
      </c>
      <c r="F602" s="10" t="n">
        <f aca="false">SUMIFS(Salidas_REM!$I:$I,Salidas_REM!$D:$D,A602,Salidas_REM!$F:$F,C602,Salidas_REM!$B:$B,$B$1,Salidas_REM!$C:$C,"Realizada")</f>
        <v>0</v>
      </c>
    </row>
    <row r="603" customFormat="false" ht="15" hidden="false" customHeight="false" outlineLevel="0" collapsed="false">
      <c r="A603" s="5" t="s">
        <v>109</v>
      </c>
      <c r="B603" s="5" t="s">
        <v>105</v>
      </c>
      <c r="C603" s="5" t="s">
        <v>806</v>
      </c>
      <c r="D603" s="5" t="s">
        <v>797</v>
      </c>
      <c r="E603" s="5" t="s">
        <v>554</v>
      </c>
      <c r="F603" s="10" t="n">
        <f aca="false">SUMIFS(Salidas_REM!$I:$I,Salidas_REM!$D:$D,A603,Salidas_REM!$F:$F,C603,Salidas_REM!$B:$B,$B$1,Salidas_REM!$C:$C,"Realizada")</f>
        <v>0</v>
      </c>
    </row>
    <row r="604" customFormat="false" ht="15" hidden="false" customHeight="false" outlineLevel="0" collapsed="false">
      <c r="A604" s="5" t="s">
        <v>109</v>
      </c>
      <c r="B604" s="5" t="s">
        <v>105</v>
      </c>
      <c r="C604" s="5" t="s">
        <v>807</v>
      </c>
      <c r="D604" s="5" t="s">
        <v>808</v>
      </c>
      <c r="E604" s="5" t="s">
        <v>130</v>
      </c>
      <c r="F604" s="10" t="n">
        <f aca="false">SUMIFS(Salidas_REM!$I:$I,Salidas_REM!$D:$D,A604,Salidas_REM!$F:$F,C604,Salidas_REM!$B:$B,$B$1,Salidas_REM!$C:$C,"Realizada")</f>
        <v>0</v>
      </c>
    </row>
    <row r="605" customFormat="false" ht="15" hidden="false" customHeight="false" outlineLevel="0" collapsed="false">
      <c r="A605" s="5" t="s">
        <v>109</v>
      </c>
      <c r="B605" s="5" t="s">
        <v>105</v>
      </c>
      <c r="C605" s="5" t="s">
        <v>809</v>
      </c>
      <c r="D605" s="5" t="s">
        <v>808</v>
      </c>
      <c r="E605" s="5" t="s">
        <v>114</v>
      </c>
      <c r="F605" s="10" t="n">
        <f aca="false">SUMIFS(Salidas_REM!$I:$I,Salidas_REM!$D:$D,A605,Salidas_REM!$F:$F,C605,Salidas_REM!$B:$B,$B$1,Salidas_REM!$C:$C,"Realizada")</f>
        <v>0</v>
      </c>
    </row>
    <row r="606" customFormat="false" ht="15" hidden="false" customHeight="false" outlineLevel="0" collapsed="false">
      <c r="A606" s="5" t="s">
        <v>109</v>
      </c>
      <c r="B606" s="5" t="s">
        <v>105</v>
      </c>
      <c r="C606" s="5" t="s">
        <v>810</v>
      </c>
      <c r="D606" s="5" t="s">
        <v>808</v>
      </c>
      <c r="E606" s="5" t="s">
        <v>116</v>
      </c>
      <c r="F606" s="10" t="n">
        <f aca="false">SUMIFS(Salidas_REM!$I:$I,Salidas_REM!$D:$D,A606,Salidas_REM!$F:$F,C606,Salidas_REM!$B:$B,$B$1,Salidas_REM!$C:$C,"Realizada")</f>
        <v>0</v>
      </c>
    </row>
    <row r="607" customFormat="false" ht="15" hidden="false" customHeight="false" outlineLevel="0" collapsed="false">
      <c r="A607" s="5" t="s">
        <v>109</v>
      </c>
      <c r="B607" s="5" t="s">
        <v>105</v>
      </c>
      <c r="C607" s="5" t="s">
        <v>811</v>
      </c>
      <c r="D607" s="5" t="s">
        <v>808</v>
      </c>
      <c r="E607" s="5" t="s">
        <v>544</v>
      </c>
      <c r="F607" s="10" t="n">
        <f aca="false">SUMIFS(Salidas_REM!$I:$I,Salidas_REM!$D:$D,A607,Salidas_REM!$F:$F,C607,Salidas_REM!$B:$B,$B$1,Salidas_REM!$C:$C,"Realizada")</f>
        <v>0</v>
      </c>
    </row>
    <row r="608" customFormat="false" ht="15" hidden="false" customHeight="false" outlineLevel="0" collapsed="false">
      <c r="A608" s="5" t="s">
        <v>109</v>
      </c>
      <c r="B608" s="5" t="s">
        <v>105</v>
      </c>
      <c r="C608" s="5" t="s">
        <v>812</v>
      </c>
      <c r="D608" s="5" t="s">
        <v>808</v>
      </c>
      <c r="E608" s="5" t="s">
        <v>546</v>
      </c>
      <c r="F608" s="10" t="n">
        <f aca="false">SUMIFS(Salidas_REM!$I:$I,Salidas_REM!$D:$D,A608,Salidas_REM!$F:$F,C608,Salidas_REM!$B:$B,$B$1,Salidas_REM!$C:$C,"Realizada")</f>
        <v>0</v>
      </c>
    </row>
    <row r="609" customFormat="false" ht="15" hidden="false" customHeight="false" outlineLevel="0" collapsed="false">
      <c r="A609" s="5" t="s">
        <v>109</v>
      </c>
      <c r="B609" s="5" t="s">
        <v>105</v>
      </c>
      <c r="C609" s="5" t="s">
        <v>813</v>
      </c>
      <c r="D609" s="5" t="s">
        <v>808</v>
      </c>
      <c r="E609" s="5" t="s">
        <v>548</v>
      </c>
      <c r="F609" s="10" t="n">
        <f aca="false">SUMIFS(Salidas_REM!$I:$I,Salidas_REM!$D:$D,A609,Salidas_REM!$F:$F,C609,Salidas_REM!$B:$B,$B$1,Salidas_REM!$C:$C,"Realizada")</f>
        <v>0</v>
      </c>
    </row>
    <row r="610" customFormat="false" ht="15" hidden="false" customHeight="false" outlineLevel="0" collapsed="false">
      <c r="A610" s="5" t="s">
        <v>109</v>
      </c>
      <c r="B610" s="5" t="s">
        <v>105</v>
      </c>
      <c r="C610" s="5" t="s">
        <v>814</v>
      </c>
      <c r="D610" s="5" t="s">
        <v>808</v>
      </c>
      <c r="E610" s="5" t="s">
        <v>550</v>
      </c>
      <c r="F610" s="10" t="n">
        <f aca="false">SUMIFS(Salidas_REM!$I:$I,Salidas_REM!$D:$D,A610,Salidas_REM!$F:$F,C610,Salidas_REM!$B:$B,$B$1,Salidas_REM!$C:$C,"Realizada")</f>
        <v>0</v>
      </c>
    </row>
    <row r="611" customFormat="false" ht="15" hidden="false" customHeight="false" outlineLevel="0" collapsed="false">
      <c r="A611" s="5" t="s">
        <v>109</v>
      </c>
      <c r="B611" s="5" t="s">
        <v>105</v>
      </c>
      <c r="C611" s="5" t="s">
        <v>815</v>
      </c>
      <c r="D611" s="5" t="s">
        <v>808</v>
      </c>
      <c r="E611" s="5" t="s">
        <v>118</v>
      </c>
      <c r="F611" s="10" t="n">
        <f aca="false">SUMIFS(Salidas_REM!$I:$I,Salidas_REM!$D:$D,A611,Salidas_REM!$F:$F,C611,Salidas_REM!$B:$B,$B$1,Salidas_REM!$C:$C,"Realizada")</f>
        <v>0</v>
      </c>
    </row>
    <row r="612" customFormat="false" ht="15" hidden="false" customHeight="false" outlineLevel="0" collapsed="false">
      <c r="A612" s="5" t="s">
        <v>109</v>
      </c>
      <c r="B612" s="5" t="s">
        <v>105</v>
      </c>
      <c r="C612" s="5" t="s">
        <v>816</v>
      </c>
      <c r="D612" s="5" t="s">
        <v>808</v>
      </c>
      <c r="E612" s="5" t="s">
        <v>120</v>
      </c>
      <c r="F612" s="10" t="n">
        <f aca="false">SUMIFS(Salidas_REM!$I:$I,Salidas_REM!$D:$D,A612,Salidas_REM!$F:$F,C612,Salidas_REM!$B:$B,$B$1,Salidas_REM!$C:$C,"Realizada")</f>
        <v>0</v>
      </c>
    </row>
    <row r="613" customFormat="false" ht="15" hidden="false" customHeight="false" outlineLevel="0" collapsed="false">
      <c r="A613" s="5" t="s">
        <v>109</v>
      </c>
      <c r="B613" s="5" t="s">
        <v>105</v>
      </c>
      <c r="C613" s="5" t="s">
        <v>817</v>
      </c>
      <c r="D613" s="5" t="s">
        <v>808</v>
      </c>
      <c r="E613" s="5" t="s">
        <v>554</v>
      </c>
      <c r="F613" s="10" t="n">
        <f aca="false">SUMIFS(Salidas_REM!$I:$I,Salidas_REM!$D:$D,A613,Salidas_REM!$F:$F,C613,Salidas_REM!$B:$B,$B$1,Salidas_REM!$C:$C,"Realizada")</f>
        <v>0</v>
      </c>
    </row>
    <row r="614" customFormat="false" ht="15" hidden="false" customHeight="false" outlineLevel="0" collapsed="false">
      <c r="A614" s="5" t="s">
        <v>109</v>
      </c>
      <c r="B614" s="5" t="s">
        <v>105</v>
      </c>
      <c r="C614" s="5" t="s">
        <v>818</v>
      </c>
      <c r="D614" s="5" t="s">
        <v>819</v>
      </c>
      <c r="E614" s="5" t="s">
        <v>130</v>
      </c>
      <c r="F614" s="10" t="n">
        <f aca="false">SUMIFS(Salidas_REM!$I:$I,Salidas_REM!$D:$D,A614,Salidas_REM!$F:$F,C614,Salidas_REM!$B:$B,$B$1,Salidas_REM!$C:$C,"Realizada")</f>
        <v>0</v>
      </c>
    </row>
    <row r="615" customFormat="false" ht="15" hidden="false" customHeight="false" outlineLevel="0" collapsed="false">
      <c r="A615" s="5" t="s">
        <v>109</v>
      </c>
      <c r="B615" s="5" t="s">
        <v>105</v>
      </c>
      <c r="C615" s="5" t="s">
        <v>820</v>
      </c>
      <c r="D615" s="5" t="s">
        <v>819</v>
      </c>
      <c r="E615" s="5" t="s">
        <v>114</v>
      </c>
      <c r="F615" s="10" t="n">
        <f aca="false">SUMIFS(Salidas_REM!$I:$I,Salidas_REM!$D:$D,A615,Salidas_REM!$F:$F,C615,Salidas_REM!$B:$B,$B$1,Salidas_REM!$C:$C,"Realizada")</f>
        <v>0</v>
      </c>
    </row>
    <row r="616" customFormat="false" ht="15" hidden="false" customHeight="false" outlineLevel="0" collapsed="false">
      <c r="A616" s="5" t="s">
        <v>109</v>
      </c>
      <c r="B616" s="5" t="s">
        <v>105</v>
      </c>
      <c r="C616" s="5" t="s">
        <v>821</v>
      </c>
      <c r="D616" s="5" t="s">
        <v>819</v>
      </c>
      <c r="E616" s="5" t="s">
        <v>116</v>
      </c>
      <c r="F616" s="10" t="n">
        <f aca="false">SUMIFS(Salidas_REM!$I:$I,Salidas_REM!$D:$D,A616,Salidas_REM!$F:$F,C616,Salidas_REM!$B:$B,$B$1,Salidas_REM!$C:$C,"Realizada")</f>
        <v>0</v>
      </c>
    </row>
    <row r="617" customFormat="false" ht="15" hidden="false" customHeight="false" outlineLevel="0" collapsed="false">
      <c r="A617" s="5" t="s">
        <v>109</v>
      </c>
      <c r="B617" s="5" t="s">
        <v>105</v>
      </c>
      <c r="C617" s="5" t="s">
        <v>822</v>
      </c>
      <c r="D617" s="5" t="s">
        <v>819</v>
      </c>
      <c r="E617" s="5" t="s">
        <v>544</v>
      </c>
      <c r="F617" s="10" t="n">
        <f aca="false">SUMIFS(Salidas_REM!$I:$I,Salidas_REM!$D:$D,A617,Salidas_REM!$F:$F,C617,Salidas_REM!$B:$B,$B$1,Salidas_REM!$C:$C,"Realizada")</f>
        <v>0</v>
      </c>
    </row>
    <row r="618" customFormat="false" ht="15" hidden="false" customHeight="false" outlineLevel="0" collapsed="false">
      <c r="A618" s="5" t="s">
        <v>109</v>
      </c>
      <c r="B618" s="5" t="s">
        <v>105</v>
      </c>
      <c r="C618" s="5" t="s">
        <v>823</v>
      </c>
      <c r="D618" s="5" t="s">
        <v>819</v>
      </c>
      <c r="E618" s="5" t="s">
        <v>546</v>
      </c>
      <c r="F618" s="10" t="n">
        <f aca="false">SUMIFS(Salidas_REM!$I:$I,Salidas_REM!$D:$D,A618,Salidas_REM!$F:$F,C618,Salidas_REM!$B:$B,$B$1,Salidas_REM!$C:$C,"Realizada")</f>
        <v>0</v>
      </c>
    </row>
    <row r="619" customFormat="false" ht="15" hidden="false" customHeight="false" outlineLevel="0" collapsed="false">
      <c r="A619" s="5" t="s">
        <v>109</v>
      </c>
      <c r="B619" s="5" t="s">
        <v>105</v>
      </c>
      <c r="C619" s="5" t="s">
        <v>824</v>
      </c>
      <c r="D619" s="5" t="s">
        <v>819</v>
      </c>
      <c r="E619" s="5" t="s">
        <v>548</v>
      </c>
      <c r="F619" s="10" t="n">
        <f aca="false">SUMIFS(Salidas_REM!$I:$I,Salidas_REM!$D:$D,A619,Salidas_REM!$F:$F,C619,Salidas_REM!$B:$B,$B$1,Salidas_REM!$C:$C,"Realizada")</f>
        <v>0</v>
      </c>
    </row>
    <row r="620" customFormat="false" ht="15" hidden="false" customHeight="false" outlineLevel="0" collapsed="false">
      <c r="A620" s="5" t="s">
        <v>109</v>
      </c>
      <c r="B620" s="5" t="s">
        <v>105</v>
      </c>
      <c r="C620" s="5" t="s">
        <v>825</v>
      </c>
      <c r="D620" s="5" t="s">
        <v>819</v>
      </c>
      <c r="E620" s="5" t="s">
        <v>550</v>
      </c>
      <c r="F620" s="10" t="n">
        <f aca="false">SUMIFS(Salidas_REM!$I:$I,Salidas_REM!$D:$D,A620,Salidas_REM!$F:$F,C620,Salidas_REM!$B:$B,$B$1,Salidas_REM!$C:$C,"Realizada")</f>
        <v>0</v>
      </c>
    </row>
    <row r="621" customFormat="false" ht="15" hidden="false" customHeight="false" outlineLevel="0" collapsed="false">
      <c r="A621" s="5" t="s">
        <v>109</v>
      </c>
      <c r="B621" s="5" t="s">
        <v>105</v>
      </c>
      <c r="C621" s="5" t="s">
        <v>826</v>
      </c>
      <c r="D621" s="5" t="s">
        <v>819</v>
      </c>
      <c r="E621" s="5" t="s">
        <v>118</v>
      </c>
      <c r="F621" s="10" t="n">
        <f aca="false">SUMIFS(Salidas_REM!$I:$I,Salidas_REM!$D:$D,A621,Salidas_REM!$F:$F,C621,Salidas_REM!$B:$B,$B$1,Salidas_REM!$C:$C,"Realizada")</f>
        <v>0</v>
      </c>
    </row>
    <row r="622" customFormat="false" ht="15" hidden="false" customHeight="false" outlineLevel="0" collapsed="false">
      <c r="A622" s="5" t="s">
        <v>109</v>
      </c>
      <c r="B622" s="5" t="s">
        <v>105</v>
      </c>
      <c r="C622" s="5" t="s">
        <v>827</v>
      </c>
      <c r="D622" s="5" t="s">
        <v>819</v>
      </c>
      <c r="E622" s="5" t="s">
        <v>120</v>
      </c>
      <c r="F622" s="10" t="n">
        <f aca="false">SUMIFS(Salidas_REM!$I:$I,Salidas_REM!$D:$D,A622,Salidas_REM!$F:$F,C622,Salidas_REM!$B:$B,$B$1,Salidas_REM!$C:$C,"Realizada")</f>
        <v>0</v>
      </c>
    </row>
    <row r="623" customFormat="false" ht="15" hidden="false" customHeight="false" outlineLevel="0" collapsed="false">
      <c r="A623" s="5" t="s">
        <v>109</v>
      </c>
      <c r="B623" s="5" t="s">
        <v>105</v>
      </c>
      <c r="C623" s="5" t="s">
        <v>828</v>
      </c>
      <c r="D623" s="5" t="s">
        <v>819</v>
      </c>
      <c r="E623" s="5" t="s">
        <v>554</v>
      </c>
      <c r="F623" s="10" t="n">
        <f aca="false">SUMIFS(Salidas_REM!$I:$I,Salidas_REM!$D:$D,A623,Salidas_REM!$F:$F,C623,Salidas_REM!$B:$B,$B$1,Salidas_REM!$C:$C,"Realizada")</f>
        <v>0</v>
      </c>
    </row>
    <row r="624" customFormat="false" ht="15" hidden="false" customHeight="false" outlineLevel="0" collapsed="false">
      <c r="A624" s="5" t="s">
        <v>109</v>
      </c>
      <c r="B624" s="5" t="s">
        <v>105</v>
      </c>
      <c r="C624" s="5" t="s">
        <v>829</v>
      </c>
      <c r="D624" s="5" t="s">
        <v>830</v>
      </c>
      <c r="E624" s="5" t="s">
        <v>130</v>
      </c>
      <c r="F624" s="10" t="n">
        <f aca="false">SUMIFS(Salidas_REM!$I:$I,Salidas_REM!$D:$D,A624,Salidas_REM!$F:$F,C624,Salidas_REM!$B:$B,$B$1,Salidas_REM!$C:$C,"Realizada")</f>
        <v>0</v>
      </c>
    </row>
    <row r="625" customFormat="false" ht="15" hidden="false" customHeight="false" outlineLevel="0" collapsed="false">
      <c r="A625" s="5" t="s">
        <v>109</v>
      </c>
      <c r="B625" s="5" t="s">
        <v>105</v>
      </c>
      <c r="C625" s="5" t="s">
        <v>831</v>
      </c>
      <c r="D625" s="5" t="s">
        <v>830</v>
      </c>
      <c r="E625" s="5" t="s">
        <v>114</v>
      </c>
      <c r="F625" s="10" t="n">
        <f aca="false">SUMIFS(Salidas_REM!$I:$I,Salidas_REM!$D:$D,A625,Salidas_REM!$F:$F,C625,Salidas_REM!$B:$B,$B$1,Salidas_REM!$C:$C,"Realizada")</f>
        <v>0</v>
      </c>
    </row>
    <row r="626" customFormat="false" ht="15" hidden="false" customHeight="false" outlineLevel="0" collapsed="false">
      <c r="A626" s="5" t="s">
        <v>109</v>
      </c>
      <c r="B626" s="5" t="s">
        <v>105</v>
      </c>
      <c r="C626" s="5" t="s">
        <v>832</v>
      </c>
      <c r="D626" s="5" t="s">
        <v>830</v>
      </c>
      <c r="E626" s="5" t="s">
        <v>116</v>
      </c>
      <c r="F626" s="10" t="n">
        <f aca="false">SUMIFS(Salidas_REM!$I:$I,Salidas_REM!$D:$D,A626,Salidas_REM!$F:$F,C626,Salidas_REM!$B:$B,$B$1,Salidas_REM!$C:$C,"Realizada")</f>
        <v>0</v>
      </c>
    </row>
    <row r="627" customFormat="false" ht="15" hidden="false" customHeight="false" outlineLevel="0" collapsed="false">
      <c r="A627" s="5" t="s">
        <v>109</v>
      </c>
      <c r="B627" s="5" t="s">
        <v>105</v>
      </c>
      <c r="C627" s="5" t="s">
        <v>833</v>
      </c>
      <c r="D627" s="5" t="s">
        <v>830</v>
      </c>
      <c r="E627" s="5" t="s">
        <v>544</v>
      </c>
      <c r="F627" s="10" t="n">
        <f aca="false">SUMIFS(Salidas_REM!$I:$I,Salidas_REM!$D:$D,A627,Salidas_REM!$F:$F,C627,Salidas_REM!$B:$B,$B$1,Salidas_REM!$C:$C,"Realizada")</f>
        <v>0</v>
      </c>
    </row>
    <row r="628" customFormat="false" ht="15" hidden="false" customHeight="false" outlineLevel="0" collapsed="false">
      <c r="A628" s="5" t="s">
        <v>109</v>
      </c>
      <c r="B628" s="5" t="s">
        <v>105</v>
      </c>
      <c r="C628" s="5" t="s">
        <v>834</v>
      </c>
      <c r="D628" s="5" t="s">
        <v>830</v>
      </c>
      <c r="E628" s="5" t="s">
        <v>546</v>
      </c>
      <c r="F628" s="10" t="n">
        <f aca="false">SUMIFS(Salidas_REM!$I:$I,Salidas_REM!$D:$D,A628,Salidas_REM!$F:$F,C628,Salidas_REM!$B:$B,$B$1,Salidas_REM!$C:$C,"Realizada")</f>
        <v>0</v>
      </c>
    </row>
    <row r="629" customFormat="false" ht="15" hidden="false" customHeight="false" outlineLevel="0" collapsed="false">
      <c r="A629" s="5" t="s">
        <v>109</v>
      </c>
      <c r="B629" s="5" t="s">
        <v>105</v>
      </c>
      <c r="C629" s="5" t="s">
        <v>835</v>
      </c>
      <c r="D629" s="5" t="s">
        <v>830</v>
      </c>
      <c r="E629" s="5" t="s">
        <v>548</v>
      </c>
      <c r="F629" s="10" t="n">
        <f aca="false">SUMIFS(Salidas_REM!$I:$I,Salidas_REM!$D:$D,A629,Salidas_REM!$F:$F,C629,Salidas_REM!$B:$B,$B$1,Salidas_REM!$C:$C,"Realizada")</f>
        <v>0</v>
      </c>
    </row>
    <row r="630" customFormat="false" ht="15" hidden="false" customHeight="false" outlineLevel="0" collapsed="false">
      <c r="A630" s="5" t="s">
        <v>109</v>
      </c>
      <c r="B630" s="5" t="s">
        <v>105</v>
      </c>
      <c r="C630" s="5" t="s">
        <v>836</v>
      </c>
      <c r="D630" s="5" t="s">
        <v>830</v>
      </c>
      <c r="E630" s="5" t="s">
        <v>550</v>
      </c>
      <c r="F630" s="10" t="n">
        <f aca="false">SUMIFS(Salidas_REM!$I:$I,Salidas_REM!$D:$D,A630,Salidas_REM!$F:$F,C630,Salidas_REM!$B:$B,$B$1,Salidas_REM!$C:$C,"Realizada")</f>
        <v>0</v>
      </c>
    </row>
    <row r="631" customFormat="false" ht="15" hidden="false" customHeight="false" outlineLevel="0" collapsed="false">
      <c r="A631" s="5" t="s">
        <v>109</v>
      </c>
      <c r="B631" s="5" t="s">
        <v>105</v>
      </c>
      <c r="C631" s="5" t="s">
        <v>837</v>
      </c>
      <c r="D631" s="5" t="s">
        <v>830</v>
      </c>
      <c r="E631" s="5" t="s">
        <v>118</v>
      </c>
      <c r="F631" s="10" t="n">
        <f aca="false">SUMIFS(Salidas_REM!$I:$I,Salidas_REM!$D:$D,A631,Salidas_REM!$F:$F,C631,Salidas_REM!$B:$B,$B$1,Salidas_REM!$C:$C,"Realizada")</f>
        <v>0</v>
      </c>
    </row>
    <row r="632" customFormat="false" ht="15" hidden="false" customHeight="false" outlineLevel="0" collapsed="false">
      <c r="A632" s="5" t="s">
        <v>109</v>
      </c>
      <c r="B632" s="5" t="s">
        <v>105</v>
      </c>
      <c r="C632" s="5" t="s">
        <v>838</v>
      </c>
      <c r="D632" s="5" t="s">
        <v>830</v>
      </c>
      <c r="E632" s="5" t="s">
        <v>120</v>
      </c>
      <c r="F632" s="10" t="n">
        <f aca="false">SUMIFS(Salidas_REM!$I:$I,Salidas_REM!$D:$D,A632,Salidas_REM!$F:$F,C632,Salidas_REM!$B:$B,$B$1,Salidas_REM!$C:$C,"Realizada")</f>
        <v>0</v>
      </c>
    </row>
    <row r="633" customFormat="false" ht="15" hidden="false" customHeight="false" outlineLevel="0" collapsed="false">
      <c r="A633" s="5" t="s">
        <v>109</v>
      </c>
      <c r="B633" s="5" t="s">
        <v>105</v>
      </c>
      <c r="C633" s="5" t="s">
        <v>839</v>
      </c>
      <c r="D633" s="5" t="s">
        <v>830</v>
      </c>
      <c r="E633" s="5" t="s">
        <v>554</v>
      </c>
      <c r="F633" s="10" t="n">
        <f aca="false">SUMIFS(Salidas_REM!$I:$I,Salidas_REM!$D:$D,A633,Salidas_REM!$F:$F,C633,Salidas_REM!$B:$B,$B$1,Salidas_REM!$C:$C,"Realizada")</f>
        <v>0</v>
      </c>
    </row>
    <row r="634" customFormat="false" ht="15" hidden="false" customHeight="false" outlineLevel="0" collapsed="false">
      <c r="A634" s="5" t="s">
        <v>109</v>
      </c>
      <c r="B634" s="5" t="s">
        <v>105</v>
      </c>
      <c r="C634" s="5" t="s">
        <v>840</v>
      </c>
      <c r="D634" s="5" t="s">
        <v>841</v>
      </c>
      <c r="E634" s="5" t="s">
        <v>130</v>
      </c>
      <c r="F634" s="10" t="n">
        <f aca="false">SUMIFS(Salidas_REM!$I:$I,Salidas_REM!$D:$D,A634,Salidas_REM!$F:$F,C634,Salidas_REM!$B:$B,$B$1,Salidas_REM!$C:$C,"Realizada")</f>
        <v>0</v>
      </c>
    </row>
    <row r="635" customFormat="false" ht="15" hidden="false" customHeight="false" outlineLevel="0" collapsed="false">
      <c r="A635" s="5" t="s">
        <v>109</v>
      </c>
      <c r="B635" s="5" t="s">
        <v>105</v>
      </c>
      <c r="C635" s="5" t="s">
        <v>842</v>
      </c>
      <c r="D635" s="5" t="s">
        <v>841</v>
      </c>
      <c r="E635" s="5" t="s">
        <v>114</v>
      </c>
      <c r="F635" s="10" t="n">
        <f aca="false">SUMIFS(Salidas_REM!$I:$I,Salidas_REM!$D:$D,A635,Salidas_REM!$F:$F,C635,Salidas_REM!$B:$B,$B$1,Salidas_REM!$C:$C,"Realizada")</f>
        <v>0</v>
      </c>
    </row>
    <row r="636" customFormat="false" ht="15" hidden="false" customHeight="false" outlineLevel="0" collapsed="false">
      <c r="A636" s="5" t="s">
        <v>109</v>
      </c>
      <c r="B636" s="5" t="s">
        <v>105</v>
      </c>
      <c r="C636" s="5" t="s">
        <v>102</v>
      </c>
      <c r="D636" s="5" t="s">
        <v>841</v>
      </c>
      <c r="E636" s="5" t="s">
        <v>116</v>
      </c>
      <c r="F636" s="10" t="n">
        <f aca="false">SUMIFS(Salidas_REM!$I:$I,Salidas_REM!$D:$D,A636,Salidas_REM!$F:$F,C636,Salidas_REM!$B:$B,$B$1,Salidas_REM!$C:$C,"Realizada")</f>
        <v>0</v>
      </c>
    </row>
    <row r="637" customFormat="false" ht="15" hidden="false" customHeight="false" outlineLevel="0" collapsed="false">
      <c r="A637" s="5" t="s">
        <v>109</v>
      </c>
      <c r="B637" s="5" t="s">
        <v>105</v>
      </c>
      <c r="C637" s="5" t="s">
        <v>843</v>
      </c>
      <c r="D637" s="5" t="s">
        <v>841</v>
      </c>
      <c r="E637" s="5" t="s">
        <v>544</v>
      </c>
      <c r="F637" s="10" t="n">
        <f aca="false">SUMIFS(Salidas_REM!$I:$I,Salidas_REM!$D:$D,A637,Salidas_REM!$F:$F,C637,Salidas_REM!$B:$B,$B$1,Salidas_REM!$C:$C,"Realizada")</f>
        <v>0</v>
      </c>
    </row>
    <row r="638" customFormat="false" ht="15" hidden="false" customHeight="false" outlineLevel="0" collapsed="false">
      <c r="A638" s="5" t="s">
        <v>109</v>
      </c>
      <c r="B638" s="5" t="s">
        <v>105</v>
      </c>
      <c r="C638" s="5" t="s">
        <v>844</v>
      </c>
      <c r="D638" s="5" t="s">
        <v>841</v>
      </c>
      <c r="E638" s="5" t="s">
        <v>546</v>
      </c>
      <c r="F638" s="10" t="n">
        <f aca="false">SUMIFS(Salidas_REM!$I:$I,Salidas_REM!$D:$D,A638,Salidas_REM!$F:$F,C638,Salidas_REM!$B:$B,$B$1,Salidas_REM!$C:$C,"Realizada")</f>
        <v>0</v>
      </c>
    </row>
    <row r="639" customFormat="false" ht="15" hidden="false" customHeight="false" outlineLevel="0" collapsed="false">
      <c r="A639" s="5" t="s">
        <v>109</v>
      </c>
      <c r="B639" s="5" t="s">
        <v>105</v>
      </c>
      <c r="C639" s="5" t="s">
        <v>845</v>
      </c>
      <c r="D639" s="5" t="s">
        <v>841</v>
      </c>
      <c r="E639" s="5" t="s">
        <v>548</v>
      </c>
      <c r="F639" s="10" t="n">
        <f aca="false">SUMIFS(Salidas_REM!$I:$I,Salidas_REM!$D:$D,A639,Salidas_REM!$F:$F,C639,Salidas_REM!$B:$B,$B$1,Salidas_REM!$C:$C,"Realizada")</f>
        <v>0</v>
      </c>
    </row>
    <row r="640" customFormat="false" ht="15" hidden="false" customHeight="false" outlineLevel="0" collapsed="false">
      <c r="A640" s="5" t="s">
        <v>109</v>
      </c>
      <c r="B640" s="5" t="s">
        <v>105</v>
      </c>
      <c r="C640" s="5" t="s">
        <v>846</v>
      </c>
      <c r="D640" s="5" t="s">
        <v>841</v>
      </c>
      <c r="E640" s="5" t="s">
        <v>550</v>
      </c>
      <c r="F640" s="10" t="n">
        <f aca="false">SUMIFS(Salidas_REM!$I:$I,Salidas_REM!$D:$D,A640,Salidas_REM!$F:$F,C640,Salidas_REM!$B:$B,$B$1,Salidas_REM!$C:$C,"Realizada")</f>
        <v>0</v>
      </c>
    </row>
    <row r="641" customFormat="false" ht="15" hidden="false" customHeight="false" outlineLevel="0" collapsed="false">
      <c r="A641" s="5" t="s">
        <v>109</v>
      </c>
      <c r="B641" s="5" t="s">
        <v>105</v>
      </c>
      <c r="C641" s="5" t="s">
        <v>847</v>
      </c>
      <c r="D641" s="5" t="s">
        <v>841</v>
      </c>
      <c r="E641" s="5" t="s">
        <v>118</v>
      </c>
      <c r="F641" s="10" t="n">
        <f aca="false">SUMIFS(Salidas_REM!$I:$I,Salidas_REM!$D:$D,A641,Salidas_REM!$F:$F,C641,Salidas_REM!$B:$B,$B$1,Salidas_REM!$C:$C,"Realizada")</f>
        <v>0</v>
      </c>
    </row>
    <row r="642" customFormat="false" ht="15" hidden="false" customHeight="false" outlineLevel="0" collapsed="false">
      <c r="A642" s="5" t="s">
        <v>109</v>
      </c>
      <c r="B642" s="5" t="s">
        <v>105</v>
      </c>
      <c r="C642" s="5" t="s">
        <v>848</v>
      </c>
      <c r="D642" s="5" t="s">
        <v>841</v>
      </c>
      <c r="E642" s="5" t="s">
        <v>120</v>
      </c>
      <c r="F642" s="10" t="n">
        <f aca="false">SUMIFS(Salidas_REM!$I:$I,Salidas_REM!$D:$D,A642,Salidas_REM!$F:$F,C642,Salidas_REM!$B:$B,$B$1,Salidas_REM!$C:$C,"Realizada")</f>
        <v>0</v>
      </c>
    </row>
    <row r="643" customFormat="false" ht="15" hidden="false" customHeight="false" outlineLevel="0" collapsed="false">
      <c r="A643" s="5" t="s">
        <v>109</v>
      </c>
      <c r="B643" s="5" t="s">
        <v>105</v>
      </c>
      <c r="C643" s="5" t="s">
        <v>849</v>
      </c>
      <c r="D643" s="5" t="s">
        <v>841</v>
      </c>
      <c r="E643" s="5" t="s">
        <v>554</v>
      </c>
      <c r="F643" s="10" t="n">
        <f aca="false">SUMIFS(Salidas_REM!$I:$I,Salidas_REM!$D:$D,A643,Salidas_REM!$F:$F,C643,Salidas_REM!$B:$B,$B$1,Salidas_REM!$C:$C,"Realizada")</f>
        <v>0</v>
      </c>
    </row>
    <row r="644" customFormat="false" ht="15" hidden="false" customHeight="false" outlineLevel="0" collapsed="false">
      <c r="A644" s="5" t="s">
        <v>109</v>
      </c>
      <c r="B644" s="5" t="s">
        <v>105</v>
      </c>
      <c r="C644" s="5" t="s">
        <v>850</v>
      </c>
      <c r="D644" s="5" t="s">
        <v>851</v>
      </c>
      <c r="E644" s="5" t="s">
        <v>130</v>
      </c>
      <c r="F644" s="10" t="n">
        <f aca="false">SUMIFS(Salidas_REM!$I:$I,Salidas_REM!$D:$D,A644,Salidas_REM!$F:$F,C644,Salidas_REM!$B:$B,$B$1,Salidas_REM!$C:$C,"Realizada")</f>
        <v>0</v>
      </c>
    </row>
    <row r="645" customFormat="false" ht="15" hidden="false" customHeight="false" outlineLevel="0" collapsed="false">
      <c r="A645" s="5" t="s">
        <v>109</v>
      </c>
      <c r="B645" s="5" t="s">
        <v>105</v>
      </c>
      <c r="C645" s="5" t="s">
        <v>852</v>
      </c>
      <c r="D645" s="5" t="s">
        <v>851</v>
      </c>
      <c r="E645" s="5" t="s">
        <v>114</v>
      </c>
      <c r="F645" s="10" t="n">
        <f aca="false">SUMIFS(Salidas_REM!$I:$I,Salidas_REM!$D:$D,A645,Salidas_REM!$F:$F,C645,Salidas_REM!$B:$B,$B$1,Salidas_REM!$C:$C,"Realizada")</f>
        <v>0</v>
      </c>
    </row>
    <row r="646" customFormat="false" ht="15" hidden="false" customHeight="false" outlineLevel="0" collapsed="false">
      <c r="A646" s="5" t="s">
        <v>109</v>
      </c>
      <c r="B646" s="5" t="s">
        <v>105</v>
      </c>
      <c r="C646" s="5" t="s">
        <v>853</v>
      </c>
      <c r="D646" s="5" t="s">
        <v>851</v>
      </c>
      <c r="E646" s="5" t="s">
        <v>116</v>
      </c>
      <c r="F646" s="10" t="n">
        <f aca="false">SUMIFS(Salidas_REM!$I:$I,Salidas_REM!$D:$D,A646,Salidas_REM!$F:$F,C646,Salidas_REM!$B:$B,$B$1,Salidas_REM!$C:$C,"Realizada")</f>
        <v>0</v>
      </c>
    </row>
    <row r="647" customFormat="false" ht="15" hidden="false" customHeight="false" outlineLevel="0" collapsed="false">
      <c r="A647" s="5" t="s">
        <v>109</v>
      </c>
      <c r="B647" s="5" t="s">
        <v>105</v>
      </c>
      <c r="C647" s="5" t="s">
        <v>854</v>
      </c>
      <c r="D647" s="5" t="s">
        <v>851</v>
      </c>
      <c r="E647" s="5" t="s">
        <v>544</v>
      </c>
      <c r="F647" s="10" t="n">
        <f aca="false">SUMIFS(Salidas_REM!$I:$I,Salidas_REM!$D:$D,A647,Salidas_REM!$F:$F,C647,Salidas_REM!$B:$B,$B$1,Salidas_REM!$C:$C,"Realizada")</f>
        <v>0</v>
      </c>
    </row>
    <row r="648" customFormat="false" ht="15" hidden="false" customHeight="false" outlineLevel="0" collapsed="false">
      <c r="A648" s="5" t="s">
        <v>109</v>
      </c>
      <c r="B648" s="5" t="s">
        <v>105</v>
      </c>
      <c r="C648" s="5" t="s">
        <v>855</v>
      </c>
      <c r="D648" s="5" t="s">
        <v>851</v>
      </c>
      <c r="E648" s="5" t="s">
        <v>546</v>
      </c>
      <c r="F648" s="10" t="n">
        <f aca="false">SUMIFS(Salidas_REM!$I:$I,Salidas_REM!$D:$D,A648,Salidas_REM!$F:$F,C648,Salidas_REM!$B:$B,$B$1,Salidas_REM!$C:$C,"Realizada")</f>
        <v>0</v>
      </c>
    </row>
    <row r="649" customFormat="false" ht="15" hidden="false" customHeight="false" outlineLevel="0" collapsed="false">
      <c r="A649" s="5" t="s">
        <v>109</v>
      </c>
      <c r="B649" s="5" t="s">
        <v>105</v>
      </c>
      <c r="C649" s="5" t="s">
        <v>856</v>
      </c>
      <c r="D649" s="5" t="s">
        <v>851</v>
      </c>
      <c r="E649" s="5" t="s">
        <v>548</v>
      </c>
      <c r="F649" s="10" t="n">
        <f aca="false">SUMIFS(Salidas_REM!$I:$I,Salidas_REM!$D:$D,A649,Salidas_REM!$F:$F,C649,Salidas_REM!$B:$B,$B$1,Salidas_REM!$C:$C,"Realizada")</f>
        <v>0</v>
      </c>
    </row>
    <row r="650" customFormat="false" ht="15" hidden="false" customHeight="false" outlineLevel="0" collapsed="false">
      <c r="A650" s="5" t="s">
        <v>109</v>
      </c>
      <c r="B650" s="5" t="s">
        <v>105</v>
      </c>
      <c r="C650" s="5" t="s">
        <v>857</v>
      </c>
      <c r="D650" s="5" t="s">
        <v>851</v>
      </c>
      <c r="E650" s="5" t="s">
        <v>550</v>
      </c>
      <c r="F650" s="10" t="n">
        <f aca="false">SUMIFS(Salidas_REM!$I:$I,Salidas_REM!$D:$D,A650,Salidas_REM!$F:$F,C650,Salidas_REM!$B:$B,$B$1,Salidas_REM!$C:$C,"Realizada")</f>
        <v>0</v>
      </c>
    </row>
    <row r="651" customFormat="false" ht="15" hidden="false" customHeight="false" outlineLevel="0" collapsed="false">
      <c r="A651" s="5" t="s">
        <v>109</v>
      </c>
      <c r="B651" s="5" t="s">
        <v>105</v>
      </c>
      <c r="C651" s="5" t="s">
        <v>858</v>
      </c>
      <c r="D651" s="5" t="s">
        <v>851</v>
      </c>
      <c r="E651" s="5" t="s">
        <v>118</v>
      </c>
      <c r="F651" s="10" t="n">
        <f aca="false">SUMIFS(Salidas_REM!$I:$I,Salidas_REM!$D:$D,A651,Salidas_REM!$F:$F,C651,Salidas_REM!$B:$B,$B$1,Salidas_REM!$C:$C,"Realizada")</f>
        <v>0</v>
      </c>
    </row>
    <row r="652" customFormat="false" ht="15" hidden="false" customHeight="false" outlineLevel="0" collapsed="false">
      <c r="A652" s="5" t="s">
        <v>109</v>
      </c>
      <c r="B652" s="5" t="s">
        <v>105</v>
      </c>
      <c r="C652" s="5" t="s">
        <v>859</v>
      </c>
      <c r="D652" s="5" t="s">
        <v>851</v>
      </c>
      <c r="E652" s="5" t="s">
        <v>120</v>
      </c>
      <c r="F652" s="10" t="n">
        <f aca="false">SUMIFS(Salidas_REM!$I:$I,Salidas_REM!$D:$D,A652,Salidas_REM!$F:$F,C652,Salidas_REM!$B:$B,$B$1,Salidas_REM!$C:$C,"Realizada")</f>
        <v>0</v>
      </c>
    </row>
    <row r="653" customFormat="false" ht="15" hidden="false" customHeight="false" outlineLevel="0" collapsed="false">
      <c r="A653" s="5" t="s">
        <v>109</v>
      </c>
      <c r="B653" s="5" t="s">
        <v>105</v>
      </c>
      <c r="C653" s="5" t="s">
        <v>860</v>
      </c>
      <c r="D653" s="5" t="s">
        <v>851</v>
      </c>
      <c r="E653" s="5" t="s">
        <v>554</v>
      </c>
      <c r="F653" s="10" t="n">
        <f aca="false">SUMIFS(Salidas_REM!$I:$I,Salidas_REM!$D:$D,A653,Salidas_REM!$F:$F,C653,Salidas_REM!$B:$B,$B$1,Salidas_REM!$C:$C,"Realizada")</f>
        <v>0</v>
      </c>
    </row>
    <row r="654" customFormat="false" ht="15" hidden="false" customHeight="false" outlineLevel="0" collapsed="false">
      <c r="A654" s="5" t="s">
        <v>109</v>
      </c>
      <c r="B654" s="5" t="s">
        <v>105</v>
      </c>
      <c r="C654" s="5" t="s">
        <v>861</v>
      </c>
      <c r="D654" s="5" t="s">
        <v>862</v>
      </c>
      <c r="E654" s="5" t="s">
        <v>130</v>
      </c>
      <c r="F654" s="10" t="n">
        <f aca="false">SUMIFS(Salidas_REM!$I:$I,Salidas_REM!$D:$D,A654,Salidas_REM!$F:$F,C654,Salidas_REM!$B:$B,$B$1,Salidas_REM!$C:$C,"Realizada")</f>
        <v>0</v>
      </c>
    </row>
    <row r="655" customFormat="false" ht="15" hidden="false" customHeight="false" outlineLevel="0" collapsed="false">
      <c r="A655" s="5" t="s">
        <v>109</v>
      </c>
      <c r="B655" s="5" t="s">
        <v>105</v>
      </c>
      <c r="C655" s="5" t="s">
        <v>863</v>
      </c>
      <c r="D655" s="5" t="s">
        <v>862</v>
      </c>
      <c r="E655" s="5" t="s">
        <v>114</v>
      </c>
      <c r="F655" s="10" t="n">
        <f aca="false">SUMIFS(Salidas_REM!$I:$I,Salidas_REM!$D:$D,A655,Salidas_REM!$F:$F,C655,Salidas_REM!$B:$B,$B$1,Salidas_REM!$C:$C,"Realizada")</f>
        <v>0</v>
      </c>
    </row>
    <row r="656" customFormat="false" ht="15" hidden="false" customHeight="false" outlineLevel="0" collapsed="false">
      <c r="A656" s="5" t="s">
        <v>109</v>
      </c>
      <c r="B656" s="5" t="s">
        <v>105</v>
      </c>
      <c r="C656" s="5" t="s">
        <v>864</v>
      </c>
      <c r="D656" s="5" t="s">
        <v>862</v>
      </c>
      <c r="E656" s="5" t="s">
        <v>116</v>
      </c>
      <c r="F656" s="10" t="n">
        <f aca="false">SUMIFS(Salidas_REM!$I:$I,Salidas_REM!$D:$D,A656,Salidas_REM!$F:$F,C656,Salidas_REM!$B:$B,$B$1,Salidas_REM!$C:$C,"Realizada")</f>
        <v>0</v>
      </c>
    </row>
    <row r="657" customFormat="false" ht="15" hidden="false" customHeight="false" outlineLevel="0" collapsed="false">
      <c r="A657" s="5" t="s">
        <v>109</v>
      </c>
      <c r="B657" s="5" t="s">
        <v>105</v>
      </c>
      <c r="C657" s="5" t="s">
        <v>865</v>
      </c>
      <c r="D657" s="5" t="s">
        <v>862</v>
      </c>
      <c r="E657" s="5" t="s">
        <v>544</v>
      </c>
      <c r="F657" s="10" t="n">
        <f aca="false">SUMIFS(Salidas_REM!$I:$I,Salidas_REM!$D:$D,A657,Salidas_REM!$F:$F,C657,Salidas_REM!$B:$B,$B$1,Salidas_REM!$C:$C,"Realizada")</f>
        <v>0</v>
      </c>
    </row>
    <row r="658" customFormat="false" ht="15" hidden="false" customHeight="false" outlineLevel="0" collapsed="false">
      <c r="A658" s="5" t="s">
        <v>109</v>
      </c>
      <c r="B658" s="5" t="s">
        <v>105</v>
      </c>
      <c r="C658" s="5" t="s">
        <v>866</v>
      </c>
      <c r="D658" s="5" t="s">
        <v>862</v>
      </c>
      <c r="E658" s="5" t="s">
        <v>546</v>
      </c>
      <c r="F658" s="10" t="n">
        <f aca="false">SUMIFS(Salidas_REM!$I:$I,Salidas_REM!$D:$D,A658,Salidas_REM!$F:$F,C658,Salidas_REM!$B:$B,$B$1,Salidas_REM!$C:$C,"Realizada")</f>
        <v>0</v>
      </c>
    </row>
    <row r="659" customFormat="false" ht="15" hidden="false" customHeight="false" outlineLevel="0" collapsed="false">
      <c r="A659" s="5" t="s">
        <v>109</v>
      </c>
      <c r="B659" s="5" t="s">
        <v>105</v>
      </c>
      <c r="C659" s="5" t="s">
        <v>867</v>
      </c>
      <c r="D659" s="5" t="s">
        <v>862</v>
      </c>
      <c r="E659" s="5" t="s">
        <v>548</v>
      </c>
      <c r="F659" s="10" t="n">
        <f aca="false">SUMIFS(Salidas_REM!$I:$I,Salidas_REM!$D:$D,A659,Salidas_REM!$F:$F,C659,Salidas_REM!$B:$B,$B$1,Salidas_REM!$C:$C,"Realizada")</f>
        <v>0</v>
      </c>
    </row>
    <row r="660" customFormat="false" ht="15" hidden="false" customHeight="false" outlineLevel="0" collapsed="false">
      <c r="A660" s="5" t="s">
        <v>109</v>
      </c>
      <c r="B660" s="5" t="s">
        <v>105</v>
      </c>
      <c r="C660" s="5" t="s">
        <v>868</v>
      </c>
      <c r="D660" s="5" t="s">
        <v>862</v>
      </c>
      <c r="E660" s="5" t="s">
        <v>550</v>
      </c>
      <c r="F660" s="10" t="n">
        <f aca="false">SUMIFS(Salidas_REM!$I:$I,Salidas_REM!$D:$D,A660,Salidas_REM!$F:$F,C660,Salidas_REM!$B:$B,$B$1,Salidas_REM!$C:$C,"Realizada")</f>
        <v>0</v>
      </c>
    </row>
    <row r="661" customFormat="false" ht="15" hidden="false" customHeight="false" outlineLevel="0" collapsed="false">
      <c r="A661" s="5" t="s">
        <v>109</v>
      </c>
      <c r="B661" s="5" t="s">
        <v>105</v>
      </c>
      <c r="C661" s="5" t="s">
        <v>869</v>
      </c>
      <c r="D661" s="5" t="s">
        <v>862</v>
      </c>
      <c r="E661" s="5" t="s">
        <v>118</v>
      </c>
      <c r="F661" s="10" t="n">
        <f aca="false">SUMIFS(Salidas_REM!$I:$I,Salidas_REM!$D:$D,A661,Salidas_REM!$F:$F,C661,Salidas_REM!$B:$B,$B$1,Salidas_REM!$C:$C,"Realizada")</f>
        <v>0</v>
      </c>
    </row>
    <row r="662" customFormat="false" ht="15" hidden="false" customHeight="false" outlineLevel="0" collapsed="false">
      <c r="A662" s="5" t="s">
        <v>109</v>
      </c>
      <c r="B662" s="5" t="s">
        <v>105</v>
      </c>
      <c r="C662" s="5" t="s">
        <v>870</v>
      </c>
      <c r="D662" s="5" t="s">
        <v>862</v>
      </c>
      <c r="E662" s="5" t="s">
        <v>120</v>
      </c>
      <c r="F662" s="10" t="n">
        <f aca="false">SUMIFS(Salidas_REM!$I:$I,Salidas_REM!$D:$D,A662,Salidas_REM!$F:$F,C662,Salidas_REM!$B:$B,$B$1,Salidas_REM!$C:$C,"Realizada")</f>
        <v>0</v>
      </c>
    </row>
    <row r="663" customFormat="false" ht="15" hidden="false" customHeight="false" outlineLevel="0" collapsed="false">
      <c r="A663" s="5" t="s">
        <v>109</v>
      </c>
      <c r="B663" s="5" t="s">
        <v>105</v>
      </c>
      <c r="C663" s="5" t="s">
        <v>871</v>
      </c>
      <c r="D663" s="5" t="s">
        <v>862</v>
      </c>
      <c r="E663" s="5" t="s">
        <v>554</v>
      </c>
      <c r="F663" s="10" t="n">
        <f aca="false">SUMIFS(Salidas_REM!$I:$I,Salidas_REM!$D:$D,A663,Salidas_REM!$F:$F,C663,Salidas_REM!$B:$B,$B$1,Salidas_REM!$C:$C,"Realizada")</f>
        <v>0</v>
      </c>
    </row>
    <row r="664" customFormat="false" ht="15" hidden="false" customHeight="false" outlineLevel="0" collapsed="false">
      <c r="A664" s="5" t="s">
        <v>109</v>
      </c>
      <c r="B664" s="5" t="s">
        <v>105</v>
      </c>
      <c r="C664" s="5" t="s">
        <v>872</v>
      </c>
      <c r="D664" s="5" t="s">
        <v>873</v>
      </c>
      <c r="E664" s="5" t="s">
        <v>130</v>
      </c>
      <c r="F664" s="10" t="n">
        <f aca="false">SUMIFS(Salidas_REM!$I:$I,Salidas_REM!$D:$D,A664,Salidas_REM!$F:$F,C664,Salidas_REM!$B:$B,$B$1,Salidas_REM!$C:$C,"Realizada")</f>
        <v>0</v>
      </c>
    </row>
    <row r="665" customFormat="false" ht="15" hidden="false" customHeight="false" outlineLevel="0" collapsed="false">
      <c r="A665" s="5" t="s">
        <v>109</v>
      </c>
      <c r="B665" s="5" t="s">
        <v>105</v>
      </c>
      <c r="C665" s="5" t="s">
        <v>874</v>
      </c>
      <c r="D665" s="5" t="s">
        <v>873</v>
      </c>
      <c r="E665" s="5" t="s">
        <v>114</v>
      </c>
      <c r="F665" s="10" t="n">
        <f aca="false">SUMIFS(Salidas_REM!$I:$I,Salidas_REM!$D:$D,A665,Salidas_REM!$F:$F,C665,Salidas_REM!$B:$B,$B$1,Salidas_REM!$C:$C,"Realizada")</f>
        <v>0</v>
      </c>
    </row>
    <row r="666" customFormat="false" ht="15" hidden="false" customHeight="false" outlineLevel="0" collapsed="false">
      <c r="A666" s="5" t="s">
        <v>109</v>
      </c>
      <c r="B666" s="5" t="s">
        <v>105</v>
      </c>
      <c r="C666" s="5" t="s">
        <v>875</v>
      </c>
      <c r="D666" s="5" t="s">
        <v>873</v>
      </c>
      <c r="E666" s="5" t="s">
        <v>116</v>
      </c>
      <c r="F666" s="10" t="n">
        <f aca="false">SUMIFS(Salidas_REM!$I:$I,Salidas_REM!$D:$D,A666,Salidas_REM!$F:$F,C666,Salidas_REM!$B:$B,$B$1,Salidas_REM!$C:$C,"Realizada")</f>
        <v>0</v>
      </c>
    </row>
    <row r="667" customFormat="false" ht="15" hidden="false" customHeight="false" outlineLevel="0" collapsed="false">
      <c r="A667" s="5" t="s">
        <v>109</v>
      </c>
      <c r="B667" s="5" t="s">
        <v>105</v>
      </c>
      <c r="C667" s="5" t="s">
        <v>876</v>
      </c>
      <c r="D667" s="5" t="s">
        <v>873</v>
      </c>
      <c r="E667" s="5" t="s">
        <v>544</v>
      </c>
      <c r="F667" s="10" t="n">
        <f aca="false">SUMIFS(Salidas_REM!$I:$I,Salidas_REM!$D:$D,A667,Salidas_REM!$F:$F,C667,Salidas_REM!$B:$B,$B$1,Salidas_REM!$C:$C,"Realizada")</f>
        <v>0</v>
      </c>
    </row>
    <row r="668" customFormat="false" ht="15" hidden="false" customHeight="false" outlineLevel="0" collapsed="false">
      <c r="A668" s="5" t="s">
        <v>109</v>
      </c>
      <c r="B668" s="5" t="s">
        <v>105</v>
      </c>
      <c r="C668" s="5" t="s">
        <v>877</v>
      </c>
      <c r="D668" s="5" t="s">
        <v>873</v>
      </c>
      <c r="E668" s="5" t="s">
        <v>546</v>
      </c>
      <c r="F668" s="10" t="n">
        <f aca="false">SUMIFS(Salidas_REM!$I:$I,Salidas_REM!$D:$D,A668,Salidas_REM!$F:$F,C668,Salidas_REM!$B:$B,$B$1,Salidas_REM!$C:$C,"Realizada")</f>
        <v>0</v>
      </c>
    </row>
    <row r="669" customFormat="false" ht="15" hidden="false" customHeight="false" outlineLevel="0" collapsed="false">
      <c r="A669" s="5" t="s">
        <v>109</v>
      </c>
      <c r="B669" s="5" t="s">
        <v>105</v>
      </c>
      <c r="C669" s="5" t="s">
        <v>878</v>
      </c>
      <c r="D669" s="5" t="s">
        <v>873</v>
      </c>
      <c r="E669" s="5" t="s">
        <v>548</v>
      </c>
      <c r="F669" s="10" t="n">
        <f aca="false">SUMIFS(Salidas_REM!$I:$I,Salidas_REM!$D:$D,A669,Salidas_REM!$F:$F,C669,Salidas_REM!$B:$B,$B$1,Salidas_REM!$C:$C,"Realizada")</f>
        <v>0</v>
      </c>
    </row>
    <row r="670" customFormat="false" ht="15" hidden="false" customHeight="false" outlineLevel="0" collapsed="false">
      <c r="A670" s="5" t="s">
        <v>109</v>
      </c>
      <c r="B670" s="5" t="s">
        <v>105</v>
      </c>
      <c r="C670" s="5" t="s">
        <v>879</v>
      </c>
      <c r="D670" s="5" t="s">
        <v>873</v>
      </c>
      <c r="E670" s="5" t="s">
        <v>550</v>
      </c>
      <c r="F670" s="10" t="n">
        <f aca="false">SUMIFS(Salidas_REM!$I:$I,Salidas_REM!$D:$D,A670,Salidas_REM!$F:$F,C670,Salidas_REM!$B:$B,$B$1,Salidas_REM!$C:$C,"Realizada")</f>
        <v>0</v>
      </c>
    </row>
    <row r="671" customFormat="false" ht="15" hidden="false" customHeight="false" outlineLevel="0" collapsed="false">
      <c r="A671" s="5" t="s">
        <v>109</v>
      </c>
      <c r="B671" s="5" t="s">
        <v>105</v>
      </c>
      <c r="C671" s="5" t="s">
        <v>880</v>
      </c>
      <c r="D671" s="5" t="s">
        <v>873</v>
      </c>
      <c r="E671" s="5" t="s">
        <v>118</v>
      </c>
      <c r="F671" s="10" t="n">
        <f aca="false">SUMIFS(Salidas_REM!$I:$I,Salidas_REM!$D:$D,A671,Salidas_REM!$F:$F,C671,Salidas_REM!$B:$B,$B$1,Salidas_REM!$C:$C,"Realizada")</f>
        <v>0</v>
      </c>
    </row>
    <row r="672" customFormat="false" ht="15" hidden="false" customHeight="false" outlineLevel="0" collapsed="false">
      <c r="A672" s="5" t="s">
        <v>109</v>
      </c>
      <c r="B672" s="5" t="s">
        <v>105</v>
      </c>
      <c r="C672" s="5" t="s">
        <v>881</v>
      </c>
      <c r="D672" s="5" t="s">
        <v>873</v>
      </c>
      <c r="E672" s="5" t="s">
        <v>120</v>
      </c>
      <c r="F672" s="10" t="n">
        <f aca="false">SUMIFS(Salidas_REM!$I:$I,Salidas_REM!$D:$D,A672,Salidas_REM!$F:$F,C672,Salidas_REM!$B:$B,$B$1,Salidas_REM!$C:$C,"Realizada")</f>
        <v>0</v>
      </c>
    </row>
    <row r="673" customFormat="false" ht="15" hidden="false" customHeight="false" outlineLevel="0" collapsed="false">
      <c r="A673" s="5" t="s">
        <v>109</v>
      </c>
      <c r="B673" s="5" t="s">
        <v>105</v>
      </c>
      <c r="C673" s="5" t="s">
        <v>882</v>
      </c>
      <c r="D673" s="5" t="s">
        <v>873</v>
      </c>
      <c r="E673" s="5" t="s">
        <v>554</v>
      </c>
      <c r="F673" s="10" t="n">
        <f aca="false">SUMIFS(Salidas_REM!$I:$I,Salidas_REM!$D:$D,A673,Salidas_REM!$F:$F,C673,Salidas_REM!$B:$B,$B$1,Salidas_REM!$C:$C,"Realizada")</f>
        <v>0</v>
      </c>
    </row>
    <row r="674" customFormat="false" ht="15" hidden="false" customHeight="false" outlineLevel="0" collapsed="false">
      <c r="A674" s="5" t="s">
        <v>109</v>
      </c>
      <c r="B674" s="5" t="s">
        <v>105</v>
      </c>
      <c r="C674" s="5" t="s">
        <v>883</v>
      </c>
      <c r="D674" s="5" t="s">
        <v>884</v>
      </c>
      <c r="E674" s="5" t="s">
        <v>130</v>
      </c>
      <c r="F674" s="10" t="n">
        <f aca="false">SUMIFS(Salidas_REM!$I:$I,Salidas_REM!$D:$D,A674,Salidas_REM!$F:$F,C674,Salidas_REM!$B:$B,$B$1,Salidas_REM!$C:$C,"Realizada")</f>
        <v>0</v>
      </c>
    </row>
    <row r="675" customFormat="false" ht="15" hidden="false" customHeight="false" outlineLevel="0" collapsed="false">
      <c r="A675" s="5" t="s">
        <v>109</v>
      </c>
      <c r="B675" s="5" t="s">
        <v>105</v>
      </c>
      <c r="C675" s="5" t="s">
        <v>885</v>
      </c>
      <c r="D675" s="5" t="s">
        <v>884</v>
      </c>
      <c r="E675" s="5" t="s">
        <v>114</v>
      </c>
      <c r="F675" s="10" t="n">
        <f aca="false">SUMIFS(Salidas_REM!$I:$I,Salidas_REM!$D:$D,A675,Salidas_REM!$F:$F,C675,Salidas_REM!$B:$B,$B$1,Salidas_REM!$C:$C,"Realizada")</f>
        <v>0</v>
      </c>
    </row>
    <row r="676" customFormat="false" ht="15" hidden="false" customHeight="false" outlineLevel="0" collapsed="false">
      <c r="A676" s="5" t="s">
        <v>109</v>
      </c>
      <c r="B676" s="5" t="s">
        <v>105</v>
      </c>
      <c r="C676" s="5" t="s">
        <v>886</v>
      </c>
      <c r="D676" s="5" t="s">
        <v>884</v>
      </c>
      <c r="E676" s="5" t="s">
        <v>116</v>
      </c>
      <c r="F676" s="10" t="n">
        <f aca="false">SUMIFS(Salidas_REM!$I:$I,Salidas_REM!$D:$D,A676,Salidas_REM!$F:$F,C676,Salidas_REM!$B:$B,$B$1,Salidas_REM!$C:$C,"Realizada")</f>
        <v>0</v>
      </c>
    </row>
    <row r="677" customFormat="false" ht="15" hidden="false" customHeight="false" outlineLevel="0" collapsed="false">
      <c r="A677" s="5" t="s">
        <v>109</v>
      </c>
      <c r="B677" s="5" t="s">
        <v>105</v>
      </c>
      <c r="C677" s="5" t="s">
        <v>887</v>
      </c>
      <c r="D677" s="5" t="s">
        <v>884</v>
      </c>
      <c r="E677" s="5" t="s">
        <v>544</v>
      </c>
      <c r="F677" s="10" t="n">
        <f aca="false">SUMIFS(Salidas_REM!$I:$I,Salidas_REM!$D:$D,A677,Salidas_REM!$F:$F,C677,Salidas_REM!$B:$B,$B$1,Salidas_REM!$C:$C,"Realizada")</f>
        <v>0</v>
      </c>
    </row>
    <row r="678" customFormat="false" ht="15" hidden="false" customHeight="false" outlineLevel="0" collapsed="false">
      <c r="A678" s="5" t="s">
        <v>109</v>
      </c>
      <c r="B678" s="5" t="s">
        <v>105</v>
      </c>
      <c r="C678" s="5" t="s">
        <v>888</v>
      </c>
      <c r="D678" s="5" t="s">
        <v>884</v>
      </c>
      <c r="E678" s="5" t="s">
        <v>546</v>
      </c>
      <c r="F678" s="10" t="n">
        <f aca="false">SUMIFS(Salidas_REM!$I:$I,Salidas_REM!$D:$D,A678,Salidas_REM!$F:$F,C678,Salidas_REM!$B:$B,$B$1,Salidas_REM!$C:$C,"Realizada")</f>
        <v>0</v>
      </c>
    </row>
    <row r="679" customFormat="false" ht="15" hidden="false" customHeight="false" outlineLevel="0" collapsed="false">
      <c r="A679" s="5" t="s">
        <v>109</v>
      </c>
      <c r="B679" s="5" t="s">
        <v>105</v>
      </c>
      <c r="C679" s="5" t="s">
        <v>889</v>
      </c>
      <c r="D679" s="5" t="s">
        <v>884</v>
      </c>
      <c r="E679" s="5" t="s">
        <v>548</v>
      </c>
      <c r="F679" s="10" t="n">
        <f aca="false">SUMIFS(Salidas_REM!$I:$I,Salidas_REM!$D:$D,A679,Salidas_REM!$F:$F,C679,Salidas_REM!$B:$B,$B$1,Salidas_REM!$C:$C,"Realizada")</f>
        <v>0</v>
      </c>
    </row>
    <row r="680" customFormat="false" ht="15" hidden="false" customHeight="false" outlineLevel="0" collapsed="false">
      <c r="A680" s="5" t="s">
        <v>109</v>
      </c>
      <c r="B680" s="5" t="s">
        <v>105</v>
      </c>
      <c r="C680" s="5" t="s">
        <v>890</v>
      </c>
      <c r="D680" s="5" t="s">
        <v>884</v>
      </c>
      <c r="E680" s="5" t="s">
        <v>550</v>
      </c>
      <c r="F680" s="10" t="n">
        <f aca="false">SUMIFS(Salidas_REM!$I:$I,Salidas_REM!$D:$D,A680,Salidas_REM!$F:$F,C680,Salidas_REM!$B:$B,$B$1,Salidas_REM!$C:$C,"Realizada")</f>
        <v>0</v>
      </c>
    </row>
    <row r="681" customFormat="false" ht="15" hidden="false" customHeight="false" outlineLevel="0" collapsed="false">
      <c r="A681" s="5" t="s">
        <v>109</v>
      </c>
      <c r="B681" s="5" t="s">
        <v>105</v>
      </c>
      <c r="C681" s="5" t="s">
        <v>891</v>
      </c>
      <c r="D681" s="5" t="s">
        <v>884</v>
      </c>
      <c r="E681" s="5" t="s">
        <v>118</v>
      </c>
      <c r="F681" s="10" t="n">
        <f aca="false">SUMIFS(Salidas_REM!$I:$I,Salidas_REM!$D:$D,A681,Salidas_REM!$F:$F,C681,Salidas_REM!$B:$B,$B$1,Salidas_REM!$C:$C,"Realizada")</f>
        <v>0</v>
      </c>
    </row>
    <row r="682" customFormat="false" ht="15" hidden="false" customHeight="false" outlineLevel="0" collapsed="false">
      <c r="A682" s="5" t="s">
        <v>109</v>
      </c>
      <c r="B682" s="5" t="s">
        <v>105</v>
      </c>
      <c r="C682" s="5" t="s">
        <v>892</v>
      </c>
      <c r="D682" s="5" t="s">
        <v>884</v>
      </c>
      <c r="E682" s="5" t="s">
        <v>120</v>
      </c>
      <c r="F682" s="10" t="n">
        <f aca="false">SUMIFS(Salidas_REM!$I:$I,Salidas_REM!$D:$D,A682,Salidas_REM!$F:$F,C682,Salidas_REM!$B:$B,$B$1,Salidas_REM!$C:$C,"Realizada")</f>
        <v>0</v>
      </c>
    </row>
    <row r="683" customFormat="false" ht="15" hidden="false" customHeight="false" outlineLevel="0" collapsed="false">
      <c r="A683" s="5" t="s">
        <v>109</v>
      </c>
      <c r="B683" s="5" t="s">
        <v>105</v>
      </c>
      <c r="C683" s="5" t="s">
        <v>893</v>
      </c>
      <c r="D683" s="5" t="s">
        <v>884</v>
      </c>
      <c r="E683" s="5" t="s">
        <v>554</v>
      </c>
      <c r="F683" s="10" t="n">
        <f aca="false">SUMIFS(Salidas_REM!$I:$I,Salidas_REM!$D:$D,A683,Salidas_REM!$F:$F,C683,Salidas_REM!$B:$B,$B$1,Salidas_REM!$C:$C,"Realizada")</f>
        <v>0</v>
      </c>
    </row>
    <row r="684" customFormat="false" ht="15" hidden="false" customHeight="false" outlineLevel="0" collapsed="false">
      <c r="A684" s="5" t="s">
        <v>109</v>
      </c>
      <c r="B684" s="5" t="s">
        <v>105</v>
      </c>
      <c r="C684" s="5" t="s">
        <v>894</v>
      </c>
      <c r="D684" s="5" t="s">
        <v>895</v>
      </c>
      <c r="E684" s="5" t="s">
        <v>130</v>
      </c>
      <c r="F684" s="10" t="n">
        <f aca="false">SUMIFS(Salidas_REM!$I:$I,Salidas_REM!$D:$D,A684,Salidas_REM!$F:$F,C684,Salidas_REM!$B:$B,$B$1,Salidas_REM!$C:$C,"Realizada")</f>
        <v>0</v>
      </c>
    </row>
    <row r="685" customFormat="false" ht="15" hidden="false" customHeight="false" outlineLevel="0" collapsed="false">
      <c r="A685" s="5" t="s">
        <v>109</v>
      </c>
      <c r="B685" s="5" t="s">
        <v>105</v>
      </c>
      <c r="C685" s="5" t="s">
        <v>896</v>
      </c>
      <c r="D685" s="5" t="s">
        <v>895</v>
      </c>
      <c r="E685" s="5" t="s">
        <v>114</v>
      </c>
      <c r="F685" s="10" t="n">
        <f aca="false">SUMIFS(Salidas_REM!$I:$I,Salidas_REM!$D:$D,A685,Salidas_REM!$F:$F,C685,Salidas_REM!$B:$B,$B$1,Salidas_REM!$C:$C,"Realizada")</f>
        <v>0</v>
      </c>
    </row>
    <row r="686" customFormat="false" ht="15" hidden="false" customHeight="false" outlineLevel="0" collapsed="false">
      <c r="A686" s="5" t="s">
        <v>109</v>
      </c>
      <c r="B686" s="5" t="s">
        <v>105</v>
      </c>
      <c r="C686" s="5" t="s">
        <v>897</v>
      </c>
      <c r="D686" s="5" t="s">
        <v>895</v>
      </c>
      <c r="E686" s="5" t="s">
        <v>116</v>
      </c>
      <c r="F686" s="10" t="n">
        <f aca="false">SUMIFS(Salidas_REM!$I:$I,Salidas_REM!$D:$D,A686,Salidas_REM!$F:$F,C686,Salidas_REM!$B:$B,$B$1,Salidas_REM!$C:$C,"Realizada")</f>
        <v>0</v>
      </c>
    </row>
    <row r="687" customFormat="false" ht="15" hidden="false" customHeight="false" outlineLevel="0" collapsed="false">
      <c r="A687" s="5" t="s">
        <v>109</v>
      </c>
      <c r="B687" s="5" t="s">
        <v>105</v>
      </c>
      <c r="C687" s="5" t="s">
        <v>898</v>
      </c>
      <c r="D687" s="5" t="s">
        <v>895</v>
      </c>
      <c r="E687" s="5" t="s">
        <v>544</v>
      </c>
      <c r="F687" s="10" t="n">
        <f aca="false">SUMIFS(Salidas_REM!$I:$I,Salidas_REM!$D:$D,A687,Salidas_REM!$F:$F,C687,Salidas_REM!$B:$B,$B$1,Salidas_REM!$C:$C,"Realizada")</f>
        <v>0</v>
      </c>
    </row>
    <row r="688" customFormat="false" ht="15" hidden="false" customHeight="false" outlineLevel="0" collapsed="false">
      <c r="A688" s="5" t="s">
        <v>109</v>
      </c>
      <c r="B688" s="5" t="s">
        <v>105</v>
      </c>
      <c r="C688" s="5" t="s">
        <v>899</v>
      </c>
      <c r="D688" s="5" t="s">
        <v>895</v>
      </c>
      <c r="E688" s="5" t="s">
        <v>546</v>
      </c>
      <c r="F688" s="10" t="n">
        <f aca="false">SUMIFS(Salidas_REM!$I:$I,Salidas_REM!$D:$D,A688,Salidas_REM!$F:$F,C688,Salidas_REM!$B:$B,$B$1,Salidas_REM!$C:$C,"Realizada")</f>
        <v>0</v>
      </c>
    </row>
    <row r="689" customFormat="false" ht="15" hidden="false" customHeight="false" outlineLevel="0" collapsed="false">
      <c r="A689" s="5" t="s">
        <v>109</v>
      </c>
      <c r="B689" s="5" t="s">
        <v>105</v>
      </c>
      <c r="C689" s="5" t="s">
        <v>900</v>
      </c>
      <c r="D689" s="5" t="s">
        <v>895</v>
      </c>
      <c r="E689" s="5" t="s">
        <v>548</v>
      </c>
      <c r="F689" s="10" t="n">
        <f aca="false">SUMIFS(Salidas_REM!$I:$I,Salidas_REM!$D:$D,A689,Salidas_REM!$F:$F,C689,Salidas_REM!$B:$B,$B$1,Salidas_REM!$C:$C,"Realizada")</f>
        <v>0</v>
      </c>
    </row>
    <row r="690" customFormat="false" ht="15" hidden="false" customHeight="false" outlineLevel="0" collapsed="false">
      <c r="A690" s="5" t="s">
        <v>109</v>
      </c>
      <c r="B690" s="5" t="s">
        <v>105</v>
      </c>
      <c r="C690" s="5" t="s">
        <v>901</v>
      </c>
      <c r="D690" s="5" t="s">
        <v>895</v>
      </c>
      <c r="E690" s="5" t="s">
        <v>550</v>
      </c>
      <c r="F690" s="10" t="n">
        <f aca="false">SUMIFS(Salidas_REM!$I:$I,Salidas_REM!$D:$D,A690,Salidas_REM!$F:$F,C690,Salidas_REM!$B:$B,$B$1,Salidas_REM!$C:$C,"Realizada")</f>
        <v>0</v>
      </c>
    </row>
    <row r="691" customFormat="false" ht="15" hidden="false" customHeight="false" outlineLevel="0" collapsed="false">
      <c r="A691" s="5" t="s">
        <v>109</v>
      </c>
      <c r="B691" s="5" t="s">
        <v>105</v>
      </c>
      <c r="C691" s="5" t="s">
        <v>902</v>
      </c>
      <c r="D691" s="5" t="s">
        <v>895</v>
      </c>
      <c r="E691" s="5" t="s">
        <v>118</v>
      </c>
      <c r="F691" s="10" t="n">
        <f aca="false">SUMIFS(Salidas_REM!$I:$I,Salidas_REM!$D:$D,A691,Salidas_REM!$F:$F,C691,Salidas_REM!$B:$B,$B$1,Salidas_REM!$C:$C,"Realizada")</f>
        <v>0</v>
      </c>
    </row>
    <row r="692" customFormat="false" ht="15" hidden="false" customHeight="false" outlineLevel="0" collapsed="false">
      <c r="A692" s="5" t="s">
        <v>109</v>
      </c>
      <c r="B692" s="5" t="s">
        <v>105</v>
      </c>
      <c r="C692" s="5" t="s">
        <v>903</v>
      </c>
      <c r="D692" s="5" t="s">
        <v>895</v>
      </c>
      <c r="E692" s="5" t="s">
        <v>120</v>
      </c>
      <c r="F692" s="10" t="n">
        <f aca="false">SUMIFS(Salidas_REM!$I:$I,Salidas_REM!$D:$D,A692,Salidas_REM!$F:$F,C692,Salidas_REM!$B:$B,$B$1,Salidas_REM!$C:$C,"Realizada")</f>
        <v>0</v>
      </c>
    </row>
    <row r="693" customFormat="false" ht="15" hidden="false" customHeight="false" outlineLevel="0" collapsed="false">
      <c r="A693" s="5" t="s">
        <v>109</v>
      </c>
      <c r="B693" s="5" t="s">
        <v>105</v>
      </c>
      <c r="C693" s="5" t="s">
        <v>904</v>
      </c>
      <c r="D693" s="5" t="s">
        <v>895</v>
      </c>
      <c r="E693" s="5" t="s">
        <v>554</v>
      </c>
      <c r="F693" s="10" t="n">
        <f aca="false">SUMIFS(Salidas_REM!$I:$I,Salidas_REM!$D:$D,A693,Salidas_REM!$F:$F,C693,Salidas_REM!$B:$B,$B$1,Salidas_REM!$C:$C,"Realizada")</f>
        <v>0</v>
      </c>
    </row>
    <row r="694" customFormat="false" ht="15" hidden="false" customHeight="false" outlineLevel="0" collapsed="false">
      <c r="A694" s="5" t="s">
        <v>109</v>
      </c>
      <c r="B694" s="5" t="s">
        <v>105</v>
      </c>
      <c r="C694" s="5" t="s">
        <v>128</v>
      </c>
      <c r="D694" s="5" t="s">
        <v>129</v>
      </c>
      <c r="E694" s="5" t="s">
        <v>130</v>
      </c>
      <c r="F694" s="10" t="n">
        <f aca="false">SUMIFS(Salidas_REM!$I:$I,Salidas_REM!$D:$D,A694,Salidas_REM!$F:$F,C694,Salidas_REM!$B:$B,$B$1,Salidas_REM!$C:$C,"Realizada")</f>
        <v>1</v>
      </c>
    </row>
    <row r="695" customFormat="false" ht="15" hidden="false" customHeight="false" outlineLevel="0" collapsed="false">
      <c r="A695" s="5" t="s">
        <v>109</v>
      </c>
      <c r="B695" s="5" t="s">
        <v>105</v>
      </c>
      <c r="C695" s="5" t="s">
        <v>131</v>
      </c>
      <c r="D695" s="5" t="s">
        <v>129</v>
      </c>
      <c r="E695" s="5" t="s">
        <v>114</v>
      </c>
      <c r="F695" s="10" t="n">
        <f aca="false">SUMIFS(Salidas_REM!$I:$I,Salidas_REM!$D:$D,A695,Salidas_REM!$F:$F,C695,Salidas_REM!$B:$B,$B$1,Salidas_REM!$C:$C,"Realizada")</f>
        <v>12</v>
      </c>
    </row>
    <row r="696" customFormat="false" ht="15" hidden="false" customHeight="false" outlineLevel="0" collapsed="false">
      <c r="A696" s="5" t="s">
        <v>109</v>
      </c>
      <c r="B696" s="5" t="s">
        <v>105</v>
      </c>
      <c r="C696" s="5" t="s">
        <v>132</v>
      </c>
      <c r="D696" s="5" t="s">
        <v>129</v>
      </c>
      <c r="E696" s="5" t="s">
        <v>116</v>
      </c>
      <c r="F696" s="10" t="n">
        <f aca="false">SUMIFS(Salidas_REM!$I:$I,Salidas_REM!$D:$D,A696,Salidas_REM!$F:$F,C696,Salidas_REM!$B:$B,$B$1,Salidas_REM!$C:$C,"Realizada")</f>
        <v>19</v>
      </c>
    </row>
    <row r="697" customFormat="false" ht="15" hidden="false" customHeight="false" outlineLevel="0" collapsed="false">
      <c r="A697" s="5" t="s">
        <v>109</v>
      </c>
      <c r="B697" s="5" t="s">
        <v>105</v>
      </c>
      <c r="C697" s="5" t="s">
        <v>905</v>
      </c>
      <c r="D697" s="5" t="s">
        <v>129</v>
      </c>
      <c r="E697" s="5" t="s">
        <v>544</v>
      </c>
      <c r="F697" s="10" t="n">
        <f aca="false">SUMIFS(Salidas_REM!$I:$I,Salidas_REM!$D:$D,A697,Salidas_REM!$F:$F,C697,Salidas_REM!$B:$B,$B$1,Salidas_REM!$C:$C,"Realizada")</f>
        <v>0</v>
      </c>
    </row>
    <row r="698" customFormat="false" ht="15" hidden="false" customHeight="false" outlineLevel="0" collapsed="false">
      <c r="A698" s="5" t="s">
        <v>109</v>
      </c>
      <c r="B698" s="5" t="s">
        <v>105</v>
      </c>
      <c r="C698" s="5" t="s">
        <v>906</v>
      </c>
      <c r="D698" s="5" t="s">
        <v>129</v>
      </c>
      <c r="E698" s="5" t="s">
        <v>546</v>
      </c>
      <c r="F698" s="10" t="n">
        <f aca="false">SUMIFS(Salidas_REM!$I:$I,Salidas_REM!$D:$D,A698,Salidas_REM!$F:$F,C698,Salidas_REM!$B:$B,$B$1,Salidas_REM!$C:$C,"Realizada")</f>
        <v>0</v>
      </c>
    </row>
    <row r="699" customFormat="false" ht="15" hidden="false" customHeight="false" outlineLevel="0" collapsed="false">
      <c r="A699" s="5" t="s">
        <v>109</v>
      </c>
      <c r="B699" s="5" t="s">
        <v>105</v>
      </c>
      <c r="C699" s="5" t="s">
        <v>907</v>
      </c>
      <c r="D699" s="5" t="s">
        <v>129</v>
      </c>
      <c r="E699" s="5" t="s">
        <v>548</v>
      </c>
      <c r="F699" s="10" t="n">
        <f aca="false">SUMIFS(Salidas_REM!$I:$I,Salidas_REM!$D:$D,A699,Salidas_REM!$F:$F,C699,Salidas_REM!$B:$B,$B$1,Salidas_REM!$C:$C,"Realizada")</f>
        <v>0</v>
      </c>
    </row>
    <row r="700" customFormat="false" ht="15" hidden="false" customHeight="false" outlineLevel="0" collapsed="false">
      <c r="A700" s="5" t="s">
        <v>109</v>
      </c>
      <c r="B700" s="5" t="s">
        <v>105</v>
      </c>
      <c r="C700" s="5" t="s">
        <v>908</v>
      </c>
      <c r="D700" s="5" t="s">
        <v>129</v>
      </c>
      <c r="E700" s="5" t="s">
        <v>550</v>
      </c>
      <c r="F700" s="10" t="n">
        <f aca="false">SUMIFS(Salidas_REM!$I:$I,Salidas_REM!$D:$D,A700,Salidas_REM!$F:$F,C700,Salidas_REM!$B:$B,$B$1,Salidas_REM!$C:$C,"Realizada")</f>
        <v>0</v>
      </c>
    </row>
    <row r="701" customFormat="false" ht="15" hidden="false" customHeight="false" outlineLevel="0" collapsed="false">
      <c r="A701" s="5" t="s">
        <v>109</v>
      </c>
      <c r="B701" s="5" t="s">
        <v>105</v>
      </c>
      <c r="C701" s="5" t="s">
        <v>133</v>
      </c>
      <c r="D701" s="5" t="s">
        <v>129</v>
      </c>
      <c r="E701" s="5" t="s">
        <v>118</v>
      </c>
      <c r="F701" s="10" t="n">
        <f aca="false">SUMIFS(Salidas_REM!$I:$I,Salidas_REM!$D:$D,A701,Salidas_REM!$F:$F,C701,Salidas_REM!$B:$B,$B$1,Salidas_REM!$C:$C,"Realizada")</f>
        <v>27</v>
      </c>
    </row>
    <row r="702" customFormat="false" ht="15" hidden="false" customHeight="false" outlineLevel="0" collapsed="false">
      <c r="A702" s="5" t="s">
        <v>109</v>
      </c>
      <c r="B702" s="5" t="s">
        <v>105</v>
      </c>
      <c r="C702" s="5" t="s">
        <v>134</v>
      </c>
      <c r="D702" s="5" t="s">
        <v>129</v>
      </c>
      <c r="E702" s="5" t="s">
        <v>120</v>
      </c>
      <c r="F702" s="10" t="n">
        <f aca="false">SUMIFS(Salidas_REM!$I:$I,Salidas_REM!$D:$D,A702,Salidas_REM!$F:$F,C702,Salidas_REM!$B:$B,$B$1,Salidas_REM!$C:$C,"Realizada")</f>
        <v>3</v>
      </c>
    </row>
    <row r="703" customFormat="false" ht="15" hidden="false" customHeight="false" outlineLevel="0" collapsed="false">
      <c r="A703" s="5" t="s">
        <v>109</v>
      </c>
      <c r="B703" s="5" t="s">
        <v>105</v>
      </c>
      <c r="C703" s="5" t="s">
        <v>909</v>
      </c>
      <c r="D703" s="5" t="s">
        <v>129</v>
      </c>
      <c r="E703" s="5" t="s">
        <v>554</v>
      </c>
      <c r="F703" s="10" t="n">
        <f aca="false">SUMIFS(Salidas_REM!$I:$I,Salidas_REM!$D:$D,A703,Salidas_REM!$F:$F,C703,Salidas_REM!$B:$B,$B$1,Salidas_REM!$C:$C,"Realizada")</f>
        <v>0</v>
      </c>
    </row>
    <row r="704" customFormat="false" ht="15" hidden="false" customHeight="false" outlineLevel="0" collapsed="false">
      <c r="A704" s="5" t="s">
        <v>109</v>
      </c>
      <c r="B704" s="5" t="s">
        <v>105</v>
      </c>
      <c r="C704" s="5" t="s">
        <v>910</v>
      </c>
      <c r="D704" s="5" t="s">
        <v>911</v>
      </c>
      <c r="E704" s="5" t="s">
        <v>130</v>
      </c>
      <c r="F704" s="10" t="n">
        <f aca="false">SUMIFS(Salidas_REM!$I:$I,Salidas_REM!$D:$D,A704,Salidas_REM!$F:$F,C704,Salidas_REM!$B:$B,$B$1,Salidas_REM!$C:$C,"Realizada")</f>
        <v>0</v>
      </c>
    </row>
    <row r="705" customFormat="false" ht="15" hidden="false" customHeight="false" outlineLevel="0" collapsed="false">
      <c r="A705" s="5" t="s">
        <v>109</v>
      </c>
      <c r="B705" s="5" t="s">
        <v>105</v>
      </c>
      <c r="C705" s="5" t="s">
        <v>912</v>
      </c>
      <c r="D705" s="5" t="s">
        <v>911</v>
      </c>
      <c r="E705" s="5" t="s">
        <v>114</v>
      </c>
      <c r="F705" s="10" t="n">
        <f aca="false">SUMIFS(Salidas_REM!$I:$I,Salidas_REM!$D:$D,A705,Salidas_REM!$F:$F,C705,Salidas_REM!$B:$B,$B$1,Salidas_REM!$C:$C,"Realizada")</f>
        <v>0</v>
      </c>
    </row>
    <row r="706" customFormat="false" ht="15" hidden="false" customHeight="false" outlineLevel="0" collapsed="false">
      <c r="A706" s="5" t="s">
        <v>109</v>
      </c>
      <c r="B706" s="5" t="s">
        <v>105</v>
      </c>
      <c r="C706" s="5" t="s">
        <v>913</v>
      </c>
      <c r="D706" s="5" t="s">
        <v>911</v>
      </c>
      <c r="E706" s="5" t="s">
        <v>116</v>
      </c>
      <c r="F706" s="10" t="n">
        <f aca="false">SUMIFS(Salidas_REM!$I:$I,Salidas_REM!$D:$D,A706,Salidas_REM!$F:$F,C706,Salidas_REM!$B:$B,$B$1,Salidas_REM!$C:$C,"Realizada")</f>
        <v>0</v>
      </c>
    </row>
    <row r="707" customFormat="false" ht="15" hidden="false" customHeight="false" outlineLevel="0" collapsed="false">
      <c r="A707" s="5" t="s">
        <v>109</v>
      </c>
      <c r="B707" s="5" t="s">
        <v>105</v>
      </c>
      <c r="C707" s="5" t="s">
        <v>914</v>
      </c>
      <c r="D707" s="5" t="s">
        <v>911</v>
      </c>
      <c r="E707" s="5" t="s">
        <v>544</v>
      </c>
      <c r="F707" s="10" t="n">
        <f aca="false">SUMIFS(Salidas_REM!$I:$I,Salidas_REM!$D:$D,A707,Salidas_REM!$F:$F,C707,Salidas_REM!$B:$B,$B$1,Salidas_REM!$C:$C,"Realizada")</f>
        <v>0</v>
      </c>
    </row>
    <row r="708" customFormat="false" ht="15" hidden="false" customHeight="false" outlineLevel="0" collapsed="false">
      <c r="A708" s="5" t="s">
        <v>109</v>
      </c>
      <c r="B708" s="5" t="s">
        <v>105</v>
      </c>
      <c r="C708" s="5" t="s">
        <v>915</v>
      </c>
      <c r="D708" s="5" t="s">
        <v>911</v>
      </c>
      <c r="E708" s="5" t="s">
        <v>546</v>
      </c>
      <c r="F708" s="10" t="n">
        <f aca="false">SUMIFS(Salidas_REM!$I:$I,Salidas_REM!$D:$D,A708,Salidas_REM!$F:$F,C708,Salidas_REM!$B:$B,$B$1,Salidas_REM!$C:$C,"Realizada")</f>
        <v>0</v>
      </c>
    </row>
    <row r="709" customFormat="false" ht="15" hidden="false" customHeight="false" outlineLevel="0" collapsed="false">
      <c r="A709" s="5" t="s">
        <v>109</v>
      </c>
      <c r="B709" s="5" t="s">
        <v>105</v>
      </c>
      <c r="C709" s="5" t="s">
        <v>916</v>
      </c>
      <c r="D709" s="5" t="s">
        <v>911</v>
      </c>
      <c r="E709" s="5" t="s">
        <v>548</v>
      </c>
      <c r="F709" s="10" t="n">
        <f aca="false">SUMIFS(Salidas_REM!$I:$I,Salidas_REM!$D:$D,A709,Salidas_REM!$F:$F,C709,Salidas_REM!$B:$B,$B$1,Salidas_REM!$C:$C,"Realizada")</f>
        <v>0</v>
      </c>
    </row>
    <row r="710" customFormat="false" ht="15" hidden="false" customHeight="false" outlineLevel="0" collapsed="false">
      <c r="A710" s="5" t="s">
        <v>109</v>
      </c>
      <c r="B710" s="5" t="s">
        <v>105</v>
      </c>
      <c r="C710" s="5" t="s">
        <v>917</v>
      </c>
      <c r="D710" s="5" t="s">
        <v>911</v>
      </c>
      <c r="E710" s="5" t="s">
        <v>550</v>
      </c>
      <c r="F710" s="10" t="n">
        <f aca="false">SUMIFS(Salidas_REM!$I:$I,Salidas_REM!$D:$D,A710,Salidas_REM!$F:$F,C710,Salidas_REM!$B:$B,$B$1,Salidas_REM!$C:$C,"Realizada")</f>
        <v>0</v>
      </c>
    </row>
    <row r="711" customFormat="false" ht="15" hidden="false" customHeight="false" outlineLevel="0" collapsed="false">
      <c r="A711" s="5" t="s">
        <v>109</v>
      </c>
      <c r="B711" s="5" t="s">
        <v>105</v>
      </c>
      <c r="C711" s="5" t="s">
        <v>918</v>
      </c>
      <c r="D711" s="5" t="s">
        <v>911</v>
      </c>
      <c r="E711" s="5" t="s">
        <v>118</v>
      </c>
      <c r="F711" s="10" t="n">
        <f aca="false">SUMIFS(Salidas_REM!$I:$I,Salidas_REM!$D:$D,A711,Salidas_REM!$F:$F,C711,Salidas_REM!$B:$B,$B$1,Salidas_REM!$C:$C,"Realizada")</f>
        <v>0</v>
      </c>
    </row>
    <row r="712" customFormat="false" ht="15" hidden="false" customHeight="false" outlineLevel="0" collapsed="false">
      <c r="A712" s="5" t="s">
        <v>109</v>
      </c>
      <c r="B712" s="5" t="s">
        <v>105</v>
      </c>
      <c r="C712" s="5" t="s">
        <v>919</v>
      </c>
      <c r="D712" s="5" t="s">
        <v>911</v>
      </c>
      <c r="E712" s="5" t="s">
        <v>120</v>
      </c>
      <c r="F712" s="10" t="n">
        <f aca="false">SUMIFS(Salidas_REM!$I:$I,Salidas_REM!$D:$D,A712,Salidas_REM!$F:$F,C712,Salidas_REM!$B:$B,$B$1,Salidas_REM!$C:$C,"Realizada")</f>
        <v>0</v>
      </c>
    </row>
    <row r="713" customFormat="false" ht="15" hidden="false" customHeight="false" outlineLevel="0" collapsed="false">
      <c r="A713" s="5" t="s">
        <v>109</v>
      </c>
      <c r="B713" s="5" t="s">
        <v>105</v>
      </c>
      <c r="C713" s="5" t="s">
        <v>920</v>
      </c>
      <c r="D713" s="5" t="s">
        <v>911</v>
      </c>
      <c r="E713" s="5" t="s">
        <v>554</v>
      </c>
      <c r="F713" s="10" t="n">
        <f aca="false">SUMIFS(Salidas_REM!$I:$I,Salidas_REM!$D:$D,A713,Salidas_REM!$F:$F,C713,Salidas_REM!$B:$B,$B$1,Salidas_REM!$C:$C,"Realizada")</f>
        <v>0</v>
      </c>
    </row>
    <row r="714" customFormat="false" ht="15" hidden="false" customHeight="false" outlineLevel="0" collapsed="false">
      <c r="A714" s="5" t="s">
        <v>100</v>
      </c>
      <c r="B714" s="5" t="s">
        <v>101</v>
      </c>
      <c r="C714" s="5" t="s">
        <v>921</v>
      </c>
      <c r="D714" s="5" t="s">
        <v>922</v>
      </c>
      <c r="E714" s="5" t="s">
        <v>104</v>
      </c>
      <c r="F714" s="10" t="n">
        <f aca="false">SUMIFS(Salidas_REM!$I:$I,Salidas_REM!$D:$D,A714,Salidas_REM!$F:$F,C714,Salidas_REM!$B:$B,$B$1,Salidas_REM!$C:$C,"Realizada")</f>
        <v>0</v>
      </c>
    </row>
    <row r="715" customFormat="false" ht="15" hidden="false" customHeight="false" outlineLevel="0" collapsed="false">
      <c r="A715" s="5" t="s">
        <v>100</v>
      </c>
      <c r="B715" s="5" t="s">
        <v>101</v>
      </c>
      <c r="C715" s="5" t="s">
        <v>923</v>
      </c>
      <c r="D715" s="5" t="s">
        <v>922</v>
      </c>
      <c r="E715" s="5" t="s">
        <v>924</v>
      </c>
      <c r="F715" s="10" t="n">
        <f aca="false">SUMIFS(Salidas_REM!$I:$I,Salidas_REM!$D:$D,A715,Salidas_REM!$F:$F,C715,Salidas_REM!$B:$B,$B$1,Salidas_REM!$C:$C,"Realizada")</f>
        <v>0</v>
      </c>
    </row>
    <row r="716" customFormat="false" ht="15" hidden="false" customHeight="false" outlineLevel="0" collapsed="false">
      <c r="A716" s="5" t="s">
        <v>100</v>
      </c>
      <c r="B716" s="5" t="s">
        <v>101</v>
      </c>
      <c r="C716" s="5" t="s">
        <v>925</v>
      </c>
      <c r="D716" s="5" t="s">
        <v>922</v>
      </c>
      <c r="E716" s="5" t="s">
        <v>926</v>
      </c>
      <c r="F716" s="10" t="n">
        <f aca="false">SUMIFS(Salidas_REM!$I:$I,Salidas_REM!$D:$D,A716,Salidas_REM!$F:$F,C716,Salidas_REM!$B:$B,$B$1,Salidas_REM!$C:$C,"Realizada")</f>
        <v>0</v>
      </c>
    </row>
    <row r="717" customFormat="false" ht="15" hidden="false" customHeight="false" outlineLevel="0" collapsed="false">
      <c r="A717" s="5" t="s">
        <v>100</v>
      </c>
      <c r="B717" s="5" t="s">
        <v>101</v>
      </c>
      <c r="C717" s="5" t="s">
        <v>927</v>
      </c>
      <c r="D717" s="5" t="s">
        <v>922</v>
      </c>
      <c r="E717" s="5" t="s">
        <v>928</v>
      </c>
      <c r="F717" s="10" t="n">
        <f aca="false">SUMIFS(Salidas_REM!$I:$I,Salidas_REM!$D:$D,A717,Salidas_REM!$F:$F,C717,Salidas_REM!$B:$B,$B$1,Salidas_REM!$C:$C,"Realizada")</f>
        <v>0</v>
      </c>
    </row>
    <row r="718" customFormat="false" ht="15" hidden="false" customHeight="false" outlineLevel="0" collapsed="false">
      <c r="A718" s="5" t="s">
        <v>100</v>
      </c>
      <c r="B718" s="5" t="s">
        <v>101</v>
      </c>
      <c r="C718" s="5" t="s">
        <v>929</v>
      </c>
      <c r="D718" s="5" t="s">
        <v>922</v>
      </c>
      <c r="E718" s="5" t="s">
        <v>930</v>
      </c>
      <c r="F718" s="10" t="n">
        <f aca="false">SUMIFS(Salidas_REM!$I:$I,Salidas_REM!$D:$D,A718,Salidas_REM!$F:$F,C718,Salidas_REM!$B:$B,$B$1,Salidas_REM!$C:$C,"Realizada")</f>
        <v>0</v>
      </c>
    </row>
    <row r="719" customFormat="false" ht="15" hidden="false" customHeight="false" outlineLevel="0" collapsed="false">
      <c r="A719" s="5" t="s">
        <v>100</v>
      </c>
      <c r="B719" s="5" t="s">
        <v>101</v>
      </c>
      <c r="C719" s="5" t="s">
        <v>931</v>
      </c>
      <c r="D719" s="5" t="s">
        <v>932</v>
      </c>
      <c r="E719" s="5" t="s">
        <v>104</v>
      </c>
      <c r="F719" s="10" t="n">
        <f aca="false">SUMIFS(Salidas_REM!$I:$I,Salidas_REM!$D:$D,A719,Salidas_REM!$F:$F,C719,Salidas_REM!$B:$B,$B$1,Salidas_REM!$C:$C,"Realizada")</f>
        <v>0</v>
      </c>
    </row>
    <row r="720" customFormat="false" ht="15" hidden="false" customHeight="false" outlineLevel="0" collapsed="false">
      <c r="A720" s="5" t="s">
        <v>100</v>
      </c>
      <c r="B720" s="5" t="s">
        <v>101</v>
      </c>
      <c r="C720" s="5" t="s">
        <v>933</v>
      </c>
      <c r="D720" s="5" t="s">
        <v>932</v>
      </c>
      <c r="E720" s="5" t="s">
        <v>924</v>
      </c>
      <c r="F720" s="10" t="n">
        <f aca="false">SUMIFS(Salidas_REM!$I:$I,Salidas_REM!$D:$D,A720,Salidas_REM!$F:$F,C720,Salidas_REM!$B:$B,$B$1,Salidas_REM!$C:$C,"Realizada")</f>
        <v>0</v>
      </c>
    </row>
    <row r="721" customFormat="false" ht="15" hidden="false" customHeight="false" outlineLevel="0" collapsed="false">
      <c r="A721" s="5" t="s">
        <v>100</v>
      </c>
      <c r="B721" s="5" t="s">
        <v>101</v>
      </c>
      <c r="C721" s="5" t="s">
        <v>934</v>
      </c>
      <c r="D721" s="5" t="s">
        <v>932</v>
      </c>
      <c r="E721" s="5" t="s">
        <v>926</v>
      </c>
      <c r="F721" s="10" t="n">
        <f aca="false">SUMIFS(Salidas_REM!$I:$I,Salidas_REM!$D:$D,A721,Salidas_REM!$F:$F,C721,Salidas_REM!$B:$B,$B$1,Salidas_REM!$C:$C,"Realizada")</f>
        <v>0</v>
      </c>
    </row>
    <row r="722" customFormat="false" ht="15" hidden="false" customHeight="false" outlineLevel="0" collapsed="false">
      <c r="A722" s="5" t="s">
        <v>100</v>
      </c>
      <c r="B722" s="5" t="s">
        <v>101</v>
      </c>
      <c r="C722" s="5" t="s">
        <v>935</v>
      </c>
      <c r="D722" s="5" t="s">
        <v>932</v>
      </c>
      <c r="E722" s="5" t="s">
        <v>928</v>
      </c>
      <c r="F722" s="10" t="n">
        <f aca="false">SUMIFS(Salidas_REM!$I:$I,Salidas_REM!$D:$D,A722,Salidas_REM!$F:$F,C722,Salidas_REM!$B:$B,$B$1,Salidas_REM!$C:$C,"Realizada")</f>
        <v>0</v>
      </c>
    </row>
    <row r="723" customFormat="false" ht="15" hidden="false" customHeight="false" outlineLevel="0" collapsed="false">
      <c r="A723" s="5" t="s">
        <v>100</v>
      </c>
      <c r="B723" s="5" t="s">
        <v>101</v>
      </c>
      <c r="C723" s="5" t="s">
        <v>936</v>
      </c>
      <c r="D723" s="5" t="s">
        <v>932</v>
      </c>
      <c r="E723" s="5" t="s">
        <v>930</v>
      </c>
      <c r="F723" s="10" t="n">
        <f aca="false">SUMIFS(Salidas_REM!$I:$I,Salidas_REM!$D:$D,A723,Salidas_REM!$F:$F,C723,Salidas_REM!$B:$B,$B$1,Salidas_REM!$C:$C,"Realizada")</f>
        <v>0</v>
      </c>
    </row>
    <row r="724" customFormat="false" ht="15" hidden="false" customHeight="false" outlineLevel="0" collapsed="false">
      <c r="A724" s="5" t="s">
        <v>100</v>
      </c>
      <c r="B724" s="5" t="s">
        <v>101</v>
      </c>
      <c r="C724" s="5" t="s">
        <v>937</v>
      </c>
      <c r="D724" s="5" t="s">
        <v>938</v>
      </c>
      <c r="E724" s="5" t="s">
        <v>104</v>
      </c>
      <c r="F724" s="10" t="n">
        <f aca="false">SUMIFS(Salidas_REM!$I:$I,Salidas_REM!$D:$D,A724,Salidas_REM!$F:$F,C724,Salidas_REM!$B:$B,$B$1,Salidas_REM!$C:$C,"Realizada")</f>
        <v>0</v>
      </c>
    </row>
    <row r="725" customFormat="false" ht="15" hidden="false" customHeight="false" outlineLevel="0" collapsed="false">
      <c r="A725" s="5" t="s">
        <v>100</v>
      </c>
      <c r="B725" s="5" t="s">
        <v>101</v>
      </c>
      <c r="C725" s="5" t="s">
        <v>939</v>
      </c>
      <c r="D725" s="5" t="s">
        <v>938</v>
      </c>
      <c r="E725" s="5" t="s">
        <v>924</v>
      </c>
      <c r="F725" s="10" t="n">
        <f aca="false">SUMIFS(Salidas_REM!$I:$I,Salidas_REM!$D:$D,A725,Salidas_REM!$F:$F,C725,Salidas_REM!$B:$B,$B$1,Salidas_REM!$C:$C,"Realizada")</f>
        <v>0</v>
      </c>
    </row>
    <row r="726" customFormat="false" ht="15" hidden="false" customHeight="false" outlineLevel="0" collapsed="false">
      <c r="A726" s="5" t="s">
        <v>100</v>
      </c>
      <c r="B726" s="5" t="s">
        <v>101</v>
      </c>
      <c r="C726" s="5" t="s">
        <v>940</v>
      </c>
      <c r="D726" s="5" t="s">
        <v>938</v>
      </c>
      <c r="E726" s="5" t="s">
        <v>926</v>
      </c>
      <c r="F726" s="10" t="n">
        <f aca="false">SUMIFS(Salidas_REM!$I:$I,Salidas_REM!$D:$D,A726,Salidas_REM!$F:$F,C726,Salidas_REM!$B:$B,$B$1,Salidas_REM!$C:$C,"Realizada")</f>
        <v>0</v>
      </c>
    </row>
    <row r="727" customFormat="false" ht="15" hidden="false" customHeight="false" outlineLevel="0" collapsed="false">
      <c r="A727" s="5" t="s">
        <v>100</v>
      </c>
      <c r="B727" s="5" t="s">
        <v>101</v>
      </c>
      <c r="C727" s="5" t="s">
        <v>941</v>
      </c>
      <c r="D727" s="5" t="s">
        <v>938</v>
      </c>
      <c r="E727" s="5" t="s">
        <v>928</v>
      </c>
      <c r="F727" s="10" t="n">
        <f aca="false">SUMIFS(Salidas_REM!$I:$I,Salidas_REM!$D:$D,A727,Salidas_REM!$F:$F,C727,Salidas_REM!$B:$B,$B$1,Salidas_REM!$C:$C,"Realizada")</f>
        <v>0</v>
      </c>
    </row>
    <row r="728" customFormat="false" ht="15" hidden="false" customHeight="false" outlineLevel="0" collapsed="false">
      <c r="A728" s="5" t="s">
        <v>100</v>
      </c>
      <c r="B728" s="5" t="s">
        <v>101</v>
      </c>
      <c r="C728" s="5" t="s">
        <v>942</v>
      </c>
      <c r="D728" s="5" t="s">
        <v>938</v>
      </c>
      <c r="E728" s="5" t="s">
        <v>930</v>
      </c>
      <c r="F728" s="10" t="n">
        <f aca="false">SUMIFS(Salidas_REM!$I:$I,Salidas_REM!$D:$D,A728,Salidas_REM!$F:$F,C728,Salidas_REM!$B:$B,$B$1,Salidas_REM!$C:$C,"Realizada")</f>
        <v>0</v>
      </c>
    </row>
    <row r="729" customFormat="false" ht="15" hidden="false" customHeight="false" outlineLevel="0" collapsed="false">
      <c r="A729" s="5" t="s">
        <v>100</v>
      </c>
      <c r="B729" s="5" t="s">
        <v>101</v>
      </c>
      <c r="C729" s="5" t="s">
        <v>943</v>
      </c>
      <c r="D729" s="5" t="s">
        <v>944</v>
      </c>
      <c r="E729" s="5" t="s">
        <v>104</v>
      </c>
      <c r="F729" s="10" t="n">
        <f aca="false">SUMIFS(Salidas_REM!$I:$I,Salidas_REM!$D:$D,A729,Salidas_REM!$F:$F,C729,Salidas_REM!$B:$B,$B$1,Salidas_REM!$C:$C,"Realizada")</f>
        <v>0</v>
      </c>
    </row>
    <row r="730" customFormat="false" ht="15" hidden="false" customHeight="false" outlineLevel="0" collapsed="false">
      <c r="A730" s="5" t="s">
        <v>100</v>
      </c>
      <c r="B730" s="5" t="s">
        <v>101</v>
      </c>
      <c r="C730" s="5" t="s">
        <v>945</v>
      </c>
      <c r="D730" s="5" t="s">
        <v>944</v>
      </c>
      <c r="E730" s="5" t="s">
        <v>924</v>
      </c>
      <c r="F730" s="10" t="n">
        <f aca="false">SUMIFS(Salidas_REM!$I:$I,Salidas_REM!$D:$D,A730,Salidas_REM!$F:$F,C730,Salidas_REM!$B:$B,$B$1,Salidas_REM!$C:$C,"Realizada")</f>
        <v>0</v>
      </c>
    </row>
    <row r="731" customFormat="false" ht="15" hidden="false" customHeight="false" outlineLevel="0" collapsed="false">
      <c r="A731" s="5" t="s">
        <v>100</v>
      </c>
      <c r="B731" s="5" t="s">
        <v>101</v>
      </c>
      <c r="C731" s="5" t="s">
        <v>946</v>
      </c>
      <c r="D731" s="5" t="s">
        <v>944</v>
      </c>
      <c r="E731" s="5" t="s">
        <v>926</v>
      </c>
      <c r="F731" s="10" t="n">
        <f aca="false">SUMIFS(Salidas_REM!$I:$I,Salidas_REM!$D:$D,A731,Salidas_REM!$F:$F,C731,Salidas_REM!$B:$B,$B$1,Salidas_REM!$C:$C,"Realizada")</f>
        <v>0</v>
      </c>
    </row>
    <row r="732" customFormat="false" ht="15" hidden="false" customHeight="false" outlineLevel="0" collapsed="false">
      <c r="A732" s="5" t="s">
        <v>100</v>
      </c>
      <c r="B732" s="5" t="s">
        <v>101</v>
      </c>
      <c r="C732" s="5" t="s">
        <v>947</v>
      </c>
      <c r="D732" s="5" t="s">
        <v>944</v>
      </c>
      <c r="E732" s="5" t="s">
        <v>928</v>
      </c>
      <c r="F732" s="10" t="n">
        <f aca="false">SUMIFS(Salidas_REM!$I:$I,Salidas_REM!$D:$D,A732,Salidas_REM!$F:$F,C732,Salidas_REM!$B:$B,$B$1,Salidas_REM!$C:$C,"Realizada")</f>
        <v>0</v>
      </c>
    </row>
    <row r="733" customFormat="false" ht="15" hidden="false" customHeight="false" outlineLevel="0" collapsed="false">
      <c r="A733" s="5" t="s">
        <v>100</v>
      </c>
      <c r="B733" s="5" t="s">
        <v>101</v>
      </c>
      <c r="C733" s="5" t="s">
        <v>948</v>
      </c>
      <c r="D733" s="5" t="s">
        <v>944</v>
      </c>
      <c r="E733" s="5" t="s">
        <v>930</v>
      </c>
      <c r="F733" s="10" t="n">
        <f aca="false">SUMIFS(Salidas_REM!$I:$I,Salidas_REM!$D:$D,A733,Salidas_REM!$F:$F,C733,Salidas_REM!$B:$B,$B$1,Salidas_REM!$C:$C,"Realizada")</f>
        <v>0</v>
      </c>
    </row>
    <row r="734" customFormat="false" ht="15" hidden="false" customHeight="false" outlineLevel="0" collapsed="false">
      <c r="A734" s="5" t="s">
        <v>100</v>
      </c>
      <c r="B734" s="5" t="s">
        <v>101</v>
      </c>
      <c r="C734" s="5" t="s">
        <v>949</v>
      </c>
      <c r="D734" s="5" t="s">
        <v>950</v>
      </c>
      <c r="E734" s="5" t="s">
        <v>104</v>
      </c>
      <c r="F734" s="10" t="n">
        <f aca="false">SUMIFS(Salidas_REM!$I:$I,Salidas_REM!$D:$D,A734,Salidas_REM!$F:$F,C734,Salidas_REM!$B:$B,$B$1,Salidas_REM!$C:$C,"Realizada")</f>
        <v>0</v>
      </c>
    </row>
    <row r="735" customFormat="false" ht="15" hidden="false" customHeight="false" outlineLevel="0" collapsed="false">
      <c r="A735" s="5" t="s">
        <v>100</v>
      </c>
      <c r="B735" s="5" t="s">
        <v>101</v>
      </c>
      <c r="C735" s="5" t="s">
        <v>951</v>
      </c>
      <c r="D735" s="5" t="s">
        <v>950</v>
      </c>
      <c r="E735" s="5" t="s">
        <v>924</v>
      </c>
      <c r="F735" s="10" t="n">
        <f aca="false">SUMIFS(Salidas_REM!$I:$I,Salidas_REM!$D:$D,A735,Salidas_REM!$F:$F,C735,Salidas_REM!$B:$B,$B$1,Salidas_REM!$C:$C,"Realizada")</f>
        <v>0</v>
      </c>
    </row>
    <row r="736" customFormat="false" ht="15" hidden="false" customHeight="false" outlineLevel="0" collapsed="false">
      <c r="A736" s="5" t="s">
        <v>100</v>
      </c>
      <c r="B736" s="5" t="s">
        <v>101</v>
      </c>
      <c r="C736" s="5" t="s">
        <v>952</v>
      </c>
      <c r="D736" s="5" t="s">
        <v>950</v>
      </c>
      <c r="E736" s="5" t="s">
        <v>926</v>
      </c>
      <c r="F736" s="10" t="n">
        <f aca="false">SUMIFS(Salidas_REM!$I:$I,Salidas_REM!$D:$D,A736,Salidas_REM!$F:$F,C736,Salidas_REM!$B:$B,$B$1,Salidas_REM!$C:$C,"Realizada")</f>
        <v>0</v>
      </c>
    </row>
    <row r="737" customFormat="false" ht="15" hidden="false" customHeight="false" outlineLevel="0" collapsed="false">
      <c r="A737" s="5" t="s">
        <v>100</v>
      </c>
      <c r="B737" s="5" t="s">
        <v>101</v>
      </c>
      <c r="C737" s="5" t="s">
        <v>953</v>
      </c>
      <c r="D737" s="5" t="s">
        <v>950</v>
      </c>
      <c r="E737" s="5" t="s">
        <v>928</v>
      </c>
      <c r="F737" s="10" t="n">
        <f aca="false">SUMIFS(Salidas_REM!$I:$I,Salidas_REM!$D:$D,A737,Salidas_REM!$F:$F,C737,Salidas_REM!$B:$B,$B$1,Salidas_REM!$C:$C,"Realizada")</f>
        <v>0</v>
      </c>
    </row>
    <row r="738" customFormat="false" ht="15" hidden="false" customHeight="false" outlineLevel="0" collapsed="false">
      <c r="A738" s="5" t="s">
        <v>100</v>
      </c>
      <c r="B738" s="5" t="s">
        <v>101</v>
      </c>
      <c r="C738" s="5" t="s">
        <v>954</v>
      </c>
      <c r="D738" s="5" t="s">
        <v>950</v>
      </c>
      <c r="E738" s="5" t="s">
        <v>930</v>
      </c>
      <c r="F738" s="10" t="n">
        <f aca="false">SUMIFS(Salidas_REM!$I:$I,Salidas_REM!$D:$D,A738,Salidas_REM!$F:$F,C738,Salidas_REM!$B:$B,$B$1,Salidas_REM!$C:$C,"Realizada")</f>
        <v>0</v>
      </c>
    </row>
    <row r="739" customFormat="false" ht="15" hidden="false" customHeight="false" outlineLevel="0" collapsed="false">
      <c r="A739" s="5" t="s">
        <v>100</v>
      </c>
      <c r="B739" s="5" t="s">
        <v>101</v>
      </c>
      <c r="C739" s="5" t="s">
        <v>955</v>
      </c>
      <c r="D739" s="5" t="s">
        <v>956</v>
      </c>
      <c r="E739" s="5" t="s">
        <v>104</v>
      </c>
      <c r="F739" s="10" t="n">
        <f aca="false">SUMIFS(Salidas_REM!$I:$I,Salidas_REM!$D:$D,A739,Salidas_REM!$F:$F,C739,Salidas_REM!$B:$B,$B$1,Salidas_REM!$C:$C,"Realizada")</f>
        <v>0</v>
      </c>
    </row>
    <row r="740" customFormat="false" ht="15" hidden="false" customHeight="false" outlineLevel="0" collapsed="false">
      <c r="A740" s="5" t="s">
        <v>100</v>
      </c>
      <c r="B740" s="5" t="s">
        <v>101</v>
      </c>
      <c r="C740" s="5" t="s">
        <v>957</v>
      </c>
      <c r="D740" s="5" t="s">
        <v>956</v>
      </c>
      <c r="E740" s="5" t="s">
        <v>924</v>
      </c>
      <c r="F740" s="10" t="n">
        <f aca="false">SUMIFS(Salidas_REM!$I:$I,Salidas_REM!$D:$D,A740,Salidas_REM!$F:$F,C740,Salidas_REM!$B:$B,$B$1,Salidas_REM!$C:$C,"Realizada")</f>
        <v>0</v>
      </c>
    </row>
    <row r="741" customFormat="false" ht="15" hidden="false" customHeight="false" outlineLevel="0" collapsed="false">
      <c r="A741" s="5" t="s">
        <v>100</v>
      </c>
      <c r="B741" s="5" t="s">
        <v>101</v>
      </c>
      <c r="C741" s="5" t="s">
        <v>958</v>
      </c>
      <c r="D741" s="5" t="s">
        <v>956</v>
      </c>
      <c r="E741" s="5" t="s">
        <v>926</v>
      </c>
      <c r="F741" s="10" t="n">
        <f aca="false">SUMIFS(Salidas_REM!$I:$I,Salidas_REM!$D:$D,A741,Salidas_REM!$F:$F,C741,Salidas_REM!$B:$B,$B$1,Salidas_REM!$C:$C,"Realizada")</f>
        <v>0</v>
      </c>
    </row>
    <row r="742" customFormat="false" ht="15" hidden="false" customHeight="false" outlineLevel="0" collapsed="false">
      <c r="A742" s="5" t="s">
        <v>100</v>
      </c>
      <c r="B742" s="5" t="s">
        <v>101</v>
      </c>
      <c r="C742" s="5" t="s">
        <v>959</v>
      </c>
      <c r="D742" s="5" t="s">
        <v>956</v>
      </c>
      <c r="E742" s="5" t="s">
        <v>928</v>
      </c>
      <c r="F742" s="10" t="n">
        <f aca="false">SUMIFS(Salidas_REM!$I:$I,Salidas_REM!$D:$D,A742,Salidas_REM!$F:$F,C742,Salidas_REM!$B:$B,$B$1,Salidas_REM!$C:$C,"Realizada")</f>
        <v>0</v>
      </c>
    </row>
    <row r="743" customFormat="false" ht="15" hidden="false" customHeight="false" outlineLevel="0" collapsed="false">
      <c r="A743" s="5" t="s">
        <v>100</v>
      </c>
      <c r="B743" s="5" t="s">
        <v>101</v>
      </c>
      <c r="C743" s="5" t="s">
        <v>960</v>
      </c>
      <c r="D743" s="5" t="s">
        <v>956</v>
      </c>
      <c r="E743" s="5" t="s">
        <v>930</v>
      </c>
      <c r="F743" s="10" t="n">
        <f aca="false">SUMIFS(Salidas_REM!$I:$I,Salidas_REM!$D:$D,A743,Salidas_REM!$F:$F,C743,Salidas_REM!$B:$B,$B$1,Salidas_REM!$C:$C,"Realizada")</f>
        <v>0</v>
      </c>
    </row>
    <row r="744" customFormat="false" ht="15" hidden="false" customHeight="false" outlineLevel="0" collapsed="false">
      <c r="A744" s="5" t="s">
        <v>100</v>
      </c>
      <c r="B744" s="5" t="s">
        <v>101</v>
      </c>
      <c r="C744" s="5" t="s">
        <v>525</v>
      </c>
      <c r="D744" s="5" t="s">
        <v>961</v>
      </c>
      <c r="E744" s="5" t="s">
        <v>104</v>
      </c>
      <c r="F744" s="10" t="n">
        <f aca="false">SUMIFS(Salidas_REM!$I:$I,Salidas_REM!$D:$D,A744,Salidas_REM!$F:$F,C744,Salidas_REM!$B:$B,$B$1,Salidas_REM!$C:$C,"Realizada")</f>
        <v>0</v>
      </c>
    </row>
    <row r="745" customFormat="false" ht="15" hidden="false" customHeight="false" outlineLevel="0" collapsed="false">
      <c r="A745" s="5" t="s">
        <v>100</v>
      </c>
      <c r="B745" s="5" t="s">
        <v>101</v>
      </c>
      <c r="C745" s="5" t="s">
        <v>527</v>
      </c>
      <c r="D745" s="5" t="s">
        <v>961</v>
      </c>
      <c r="E745" s="5" t="s">
        <v>924</v>
      </c>
      <c r="F745" s="10" t="n">
        <f aca="false">SUMIFS(Salidas_REM!$I:$I,Salidas_REM!$D:$D,A745,Salidas_REM!$F:$F,C745,Salidas_REM!$B:$B,$B$1,Salidas_REM!$C:$C,"Realizada")</f>
        <v>0</v>
      </c>
    </row>
    <row r="746" customFormat="false" ht="15" hidden="false" customHeight="false" outlineLevel="0" collapsed="false">
      <c r="A746" s="5" t="s">
        <v>100</v>
      </c>
      <c r="B746" s="5" t="s">
        <v>101</v>
      </c>
      <c r="C746" s="5" t="s">
        <v>529</v>
      </c>
      <c r="D746" s="5" t="s">
        <v>961</v>
      </c>
      <c r="E746" s="5" t="s">
        <v>926</v>
      </c>
      <c r="F746" s="10" t="n">
        <f aca="false">SUMIFS(Salidas_REM!$I:$I,Salidas_REM!$D:$D,A746,Salidas_REM!$F:$F,C746,Salidas_REM!$B:$B,$B$1,Salidas_REM!$C:$C,"Realizada")</f>
        <v>0</v>
      </c>
    </row>
    <row r="747" customFormat="false" ht="15" hidden="false" customHeight="false" outlineLevel="0" collapsed="false">
      <c r="A747" s="5" t="s">
        <v>100</v>
      </c>
      <c r="B747" s="5" t="s">
        <v>101</v>
      </c>
      <c r="C747" s="5" t="s">
        <v>531</v>
      </c>
      <c r="D747" s="5" t="s">
        <v>961</v>
      </c>
      <c r="E747" s="5" t="s">
        <v>928</v>
      </c>
      <c r="F747" s="10" t="n">
        <f aca="false">SUMIFS(Salidas_REM!$I:$I,Salidas_REM!$D:$D,A747,Salidas_REM!$F:$F,C747,Salidas_REM!$B:$B,$B$1,Salidas_REM!$C:$C,"Realizada")</f>
        <v>0</v>
      </c>
    </row>
    <row r="748" customFormat="false" ht="15" hidden="false" customHeight="false" outlineLevel="0" collapsed="false">
      <c r="A748" s="5" t="s">
        <v>100</v>
      </c>
      <c r="B748" s="5" t="s">
        <v>101</v>
      </c>
      <c r="C748" s="5" t="s">
        <v>532</v>
      </c>
      <c r="D748" s="5" t="s">
        <v>961</v>
      </c>
      <c r="E748" s="5" t="s">
        <v>930</v>
      </c>
      <c r="F748" s="10" t="n">
        <f aca="false">SUMIFS(Salidas_REM!$I:$I,Salidas_REM!$D:$D,A748,Salidas_REM!$F:$F,C748,Salidas_REM!$B:$B,$B$1,Salidas_REM!$C:$C,"Realizada")</f>
        <v>0</v>
      </c>
    </row>
    <row r="749" customFormat="false" ht="15" hidden="false" customHeight="false" outlineLevel="0" collapsed="false">
      <c r="A749" s="5" t="s">
        <v>100</v>
      </c>
      <c r="B749" s="5" t="s">
        <v>101</v>
      </c>
      <c r="C749" s="5" t="s">
        <v>558</v>
      </c>
      <c r="D749" s="5" t="s">
        <v>962</v>
      </c>
      <c r="E749" s="5" t="s">
        <v>104</v>
      </c>
      <c r="F749" s="10" t="n">
        <f aca="false">SUMIFS(Salidas_REM!$I:$I,Salidas_REM!$D:$D,A749,Salidas_REM!$F:$F,C749,Salidas_REM!$B:$B,$B$1,Salidas_REM!$C:$C,"Realizada")</f>
        <v>0</v>
      </c>
    </row>
    <row r="750" customFormat="false" ht="15" hidden="false" customHeight="false" outlineLevel="0" collapsed="false">
      <c r="A750" s="5" t="s">
        <v>100</v>
      </c>
      <c r="B750" s="5" t="s">
        <v>101</v>
      </c>
      <c r="C750" s="5" t="s">
        <v>559</v>
      </c>
      <c r="D750" s="5" t="s">
        <v>962</v>
      </c>
      <c r="E750" s="5" t="s">
        <v>924</v>
      </c>
      <c r="F750" s="10" t="n">
        <f aca="false">SUMIFS(Salidas_REM!$I:$I,Salidas_REM!$D:$D,A750,Salidas_REM!$F:$F,C750,Salidas_REM!$B:$B,$B$1,Salidas_REM!$C:$C,"Realizada")</f>
        <v>0</v>
      </c>
    </row>
    <row r="751" customFormat="false" ht="15" hidden="false" customHeight="false" outlineLevel="0" collapsed="false">
      <c r="A751" s="5" t="s">
        <v>100</v>
      </c>
      <c r="B751" s="5" t="s">
        <v>101</v>
      </c>
      <c r="C751" s="5" t="s">
        <v>560</v>
      </c>
      <c r="D751" s="5" t="s">
        <v>962</v>
      </c>
      <c r="E751" s="5" t="s">
        <v>926</v>
      </c>
      <c r="F751" s="10" t="n">
        <f aca="false">SUMIFS(Salidas_REM!$I:$I,Salidas_REM!$D:$D,A751,Salidas_REM!$F:$F,C751,Salidas_REM!$B:$B,$B$1,Salidas_REM!$C:$C,"Realizada")</f>
        <v>0</v>
      </c>
    </row>
    <row r="752" customFormat="false" ht="15" hidden="false" customHeight="false" outlineLevel="0" collapsed="false">
      <c r="A752" s="5" t="s">
        <v>100</v>
      </c>
      <c r="B752" s="5" t="s">
        <v>101</v>
      </c>
      <c r="C752" s="5" t="s">
        <v>561</v>
      </c>
      <c r="D752" s="5" t="s">
        <v>962</v>
      </c>
      <c r="E752" s="5" t="s">
        <v>928</v>
      </c>
      <c r="F752" s="10" t="n">
        <f aca="false">SUMIFS(Salidas_REM!$I:$I,Salidas_REM!$D:$D,A752,Salidas_REM!$F:$F,C752,Salidas_REM!$B:$B,$B$1,Salidas_REM!$C:$C,"Realizada")</f>
        <v>0</v>
      </c>
    </row>
    <row r="753" customFormat="false" ht="15" hidden="false" customHeight="false" outlineLevel="0" collapsed="false">
      <c r="A753" s="5" t="s">
        <v>100</v>
      </c>
      <c r="B753" s="5" t="s">
        <v>101</v>
      </c>
      <c r="C753" s="5" t="s">
        <v>562</v>
      </c>
      <c r="D753" s="5" t="s">
        <v>962</v>
      </c>
      <c r="E753" s="5" t="s">
        <v>930</v>
      </c>
      <c r="F753" s="10" t="n">
        <f aca="false">SUMIFS(Salidas_REM!$I:$I,Salidas_REM!$D:$D,A753,Salidas_REM!$F:$F,C753,Salidas_REM!$B:$B,$B$1,Salidas_REM!$C:$C,"Realizada")</f>
        <v>0</v>
      </c>
    </row>
    <row r="754" customFormat="false" ht="15" hidden="false" customHeight="false" outlineLevel="0" collapsed="false">
      <c r="A754" s="5" t="s">
        <v>100</v>
      </c>
      <c r="B754" s="5" t="s">
        <v>101</v>
      </c>
      <c r="C754" s="5" t="s">
        <v>579</v>
      </c>
      <c r="D754" s="5" t="s">
        <v>963</v>
      </c>
      <c r="E754" s="5" t="s">
        <v>104</v>
      </c>
      <c r="F754" s="10" t="n">
        <f aca="false">SUMIFS(Salidas_REM!$I:$I,Salidas_REM!$D:$D,A754,Salidas_REM!$F:$F,C754,Salidas_REM!$B:$B,$B$1,Salidas_REM!$C:$C,"Realizada")</f>
        <v>0</v>
      </c>
    </row>
    <row r="755" customFormat="false" ht="15" hidden="false" customHeight="false" outlineLevel="0" collapsed="false">
      <c r="A755" s="5" t="s">
        <v>100</v>
      </c>
      <c r="B755" s="5" t="s">
        <v>101</v>
      </c>
      <c r="C755" s="5" t="s">
        <v>580</v>
      </c>
      <c r="D755" s="5" t="s">
        <v>963</v>
      </c>
      <c r="E755" s="5" t="s">
        <v>924</v>
      </c>
      <c r="F755" s="10" t="n">
        <f aca="false">SUMIFS(Salidas_REM!$I:$I,Salidas_REM!$D:$D,A755,Salidas_REM!$F:$F,C755,Salidas_REM!$B:$B,$B$1,Salidas_REM!$C:$C,"Realizada")</f>
        <v>0</v>
      </c>
    </row>
    <row r="756" customFormat="false" ht="15" hidden="false" customHeight="false" outlineLevel="0" collapsed="false">
      <c r="A756" s="5" t="s">
        <v>100</v>
      </c>
      <c r="B756" s="5" t="s">
        <v>101</v>
      </c>
      <c r="C756" s="5" t="s">
        <v>581</v>
      </c>
      <c r="D756" s="5" t="s">
        <v>963</v>
      </c>
      <c r="E756" s="5" t="s">
        <v>926</v>
      </c>
      <c r="F756" s="10" t="n">
        <f aca="false">SUMIFS(Salidas_REM!$I:$I,Salidas_REM!$D:$D,A756,Salidas_REM!$F:$F,C756,Salidas_REM!$B:$B,$B$1,Salidas_REM!$C:$C,"Realizada")</f>
        <v>0</v>
      </c>
    </row>
    <row r="757" customFormat="false" ht="15" hidden="false" customHeight="false" outlineLevel="0" collapsed="false">
      <c r="A757" s="5" t="s">
        <v>100</v>
      </c>
      <c r="B757" s="5" t="s">
        <v>101</v>
      </c>
      <c r="C757" s="5" t="s">
        <v>582</v>
      </c>
      <c r="D757" s="5" t="s">
        <v>963</v>
      </c>
      <c r="E757" s="5" t="s">
        <v>928</v>
      </c>
      <c r="F757" s="10" t="n">
        <f aca="false">SUMIFS(Salidas_REM!$I:$I,Salidas_REM!$D:$D,A757,Salidas_REM!$F:$F,C757,Salidas_REM!$B:$B,$B$1,Salidas_REM!$C:$C,"Realizada")</f>
        <v>0</v>
      </c>
    </row>
    <row r="758" customFormat="false" ht="15" hidden="false" customHeight="false" outlineLevel="0" collapsed="false">
      <c r="A758" s="5" t="s">
        <v>100</v>
      </c>
      <c r="B758" s="5" t="s">
        <v>101</v>
      </c>
      <c r="C758" s="5" t="s">
        <v>583</v>
      </c>
      <c r="D758" s="5" t="s">
        <v>963</v>
      </c>
      <c r="E758" s="5" t="s">
        <v>930</v>
      </c>
      <c r="F758" s="10" t="n">
        <f aca="false">SUMIFS(Salidas_REM!$I:$I,Salidas_REM!$D:$D,A758,Salidas_REM!$F:$F,C758,Salidas_REM!$B:$B,$B$1,Salidas_REM!$C:$C,"Realizada")</f>
        <v>0</v>
      </c>
    </row>
    <row r="759" customFormat="false" ht="15" hidden="false" customHeight="false" outlineLevel="0" collapsed="false">
      <c r="A759" s="5" t="s">
        <v>100</v>
      </c>
      <c r="B759" s="5" t="s">
        <v>101</v>
      </c>
      <c r="C759" s="5" t="s">
        <v>599</v>
      </c>
      <c r="D759" s="5" t="s">
        <v>964</v>
      </c>
      <c r="E759" s="5" t="s">
        <v>104</v>
      </c>
      <c r="F759" s="10" t="n">
        <f aca="false">SUMIFS(Salidas_REM!$I:$I,Salidas_REM!$D:$D,A759,Salidas_REM!$F:$F,C759,Salidas_REM!$B:$B,$B$1,Salidas_REM!$C:$C,"Realizada")</f>
        <v>0</v>
      </c>
    </row>
    <row r="760" customFormat="false" ht="15" hidden="false" customHeight="false" outlineLevel="0" collapsed="false">
      <c r="A760" s="5" t="s">
        <v>100</v>
      </c>
      <c r="B760" s="5" t="s">
        <v>101</v>
      </c>
      <c r="C760" s="5" t="s">
        <v>600</v>
      </c>
      <c r="D760" s="5" t="s">
        <v>964</v>
      </c>
      <c r="E760" s="5" t="s">
        <v>924</v>
      </c>
      <c r="F760" s="10" t="n">
        <f aca="false">SUMIFS(Salidas_REM!$I:$I,Salidas_REM!$D:$D,A760,Salidas_REM!$F:$F,C760,Salidas_REM!$B:$B,$B$1,Salidas_REM!$C:$C,"Realizada")</f>
        <v>0</v>
      </c>
    </row>
    <row r="761" customFormat="false" ht="15" hidden="false" customHeight="false" outlineLevel="0" collapsed="false">
      <c r="A761" s="5" t="s">
        <v>100</v>
      </c>
      <c r="B761" s="5" t="s">
        <v>101</v>
      </c>
      <c r="C761" s="5" t="s">
        <v>601</v>
      </c>
      <c r="D761" s="5" t="s">
        <v>964</v>
      </c>
      <c r="E761" s="5" t="s">
        <v>926</v>
      </c>
      <c r="F761" s="10" t="n">
        <f aca="false">SUMIFS(Salidas_REM!$I:$I,Salidas_REM!$D:$D,A761,Salidas_REM!$F:$F,C761,Salidas_REM!$B:$B,$B$1,Salidas_REM!$C:$C,"Realizada")</f>
        <v>0</v>
      </c>
    </row>
    <row r="762" customFormat="false" ht="15" hidden="false" customHeight="false" outlineLevel="0" collapsed="false">
      <c r="A762" s="5" t="s">
        <v>100</v>
      </c>
      <c r="B762" s="5" t="s">
        <v>101</v>
      </c>
      <c r="C762" s="5" t="s">
        <v>110</v>
      </c>
      <c r="D762" s="5" t="s">
        <v>964</v>
      </c>
      <c r="E762" s="5" t="s">
        <v>928</v>
      </c>
      <c r="F762" s="10" t="n">
        <f aca="false">SUMIFS(Salidas_REM!$I:$I,Salidas_REM!$D:$D,A762,Salidas_REM!$F:$F,C762,Salidas_REM!$B:$B,$B$1,Salidas_REM!$C:$C,"Realizada")</f>
        <v>0</v>
      </c>
    </row>
    <row r="763" customFormat="false" ht="15" hidden="false" customHeight="false" outlineLevel="0" collapsed="false">
      <c r="A763" s="5" t="s">
        <v>100</v>
      </c>
      <c r="B763" s="5" t="s">
        <v>101</v>
      </c>
      <c r="C763" s="5" t="s">
        <v>602</v>
      </c>
      <c r="D763" s="5" t="s">
        <v>964</v>
      </c>
      <c r="E763" s="5" t="s">
        <v>930</v>
      </c>
      <c r="F763" s="10" t="n">
        <f aca="false">SUMIFS(Salidas_REM!$I:$I,Salidas_REM!$D:$D,A763,Salidas_REM!$F:$F,C763,Salidas_REM!$B:$B,$B$1,Salidas_REM!$C:$C,"Realizada")</f>
        <v>0</v>
      </c>
    </row>
    <row r="764" customFormat="false" ht="15" hidden="false" customHeight="false" outlineLevel="0" collapsed="false">
      <c r="A764" s="5" t="s">
        <v>100</v>
      </c>
      <c r="B764" s="5" t="s">
        <v>101</v>
      </c>
      <c r="C764" s="5" t="s">
        <v>615</v>
      </c>
      <c r="D764" s="5" t="s">
        <v>965</v>
      </c>
      <c r="E764" s="5" t="s">
        <v>104</v>
      </c>
      <c r="F764" s="10" t="n">
        <f aca="false">SUMIFS(Salidas_REM!$I:$I,Salidas_REM!$D:$D,A764,Salidas_REM!$F:$F,C764,Salidas_REM!$B:$B,$B$1,Salidas_REM!$C:$C,"Realizada")</f>
        <v>0</v>
      </c>
    </row>
    <row r="765" customFormat="false" ht="15" hidden="false" customHeight="false" outlineLevel="0" collapsed="false">
      <c r="A765" s="5" t="s">
        <v>100</v>
      </c>
      <c r="B765" s="5" t="s">
        <v>101</v>
      </c>
      <c r="C765" s="5" t="s">
        <v>616</v>
      </c>
      <c r="D765" s="5" t="s">
        <v>965</v>
      </c>
      <c r="E765" s="5" t="s">
        <v>924</v>
      </c>
      <c r="F765" s="10" t="n">
        <f aca="false">SUMIFS(Salidas_REM!$I:$I,Salidas_REM!$D:$D,A765,Salidas_REM!$F:$F,C765,Salidas_REM!$B:$B,$B$1,Salidas_REM!$C:$C,"Realizada")</f>
        <v>0</v>
      </c>
    </row>
    <row r="766" customFormat="false" ht="15" hidden="false" customHeight="false" outlineLevel="0" collapsed="false">
      <c r="A766" s="5" t="s">
        <v>100</v>
      </c>
      <c r="B766" s="5" t="s">
        <v>101</v>
      </c>
      <c r="C766" s="5" t="s">
        <v>617</v>
      </c>
      <c r="D766" s="5" t="s">
        <v>965</v>
      </c>
      <c r="E766" s="5" t="s">
        <v>926</v>
      </c>
      <c r="F766" s="10" t="n">
        <f aca="false">SUMIFS(Salidas_REM!$I:$I,Salidas_REM!$D:$D,A766,Salidas_REM!$F:$F,C766,Salidas_REM!$B:$B,$B$1,Salidas_REM!$C:$C,"Realizada")</f>
        <v>0</v>
      </c>
    </row>
    <row r="767" customFormat="false" ht="15" hidden="false" customHeight="false" outlineLevel="0" collapsed="false">
      <c r="A767" s="5" t="s">
        <v>100</v>
      </c>
      <c r="B767" s="5" t="s">
        <v>101</v>
      </c>
      <c r="C767" s="5" t="s">
        <v>618</v>
      </c>
      <c r="D767" s="5" t="s">
        <v>965</v>
      </c>
      <c r="E767" s="5" t="s">
        <v>928</v>
      </c>
      <c r="F767" s="10" t="n">
        <f aca="false">SUMIFS(Salidas_REM!$I:$I,Salidas_REM!$D:$D,A767,Salidas_REM!$F:$F,C767,Salidas_REM!$B:$B,$B$1,Salidas_REM!$C:$C,"Realizada")</f>
        <v>0</v>
      </c>
    </row>
    <row r="768" customFormat="false" ht="15" hidden="false" customHeight="false" outlineLevel="0" collapsed="false">
      <c r="A768" s="5" t="s">
        <v>100</v>
      </c>
      <c r="B768" s="5" t="s">
        <v>101</v>
      </c>
      <c r="C768" s="5" t="s">
        <v>619</v>
      </c>
      <c r="D768" s="5" t="s">
        <v>965</v>
      </c>
      <c r="E768" s="5" t="s">
        <v>930</v>
      </c>
      <c r="F768" s="10" t="n">
        <f aca="false">SUMIFS(Salidas_REM!$I:$I,Salidas_REM!$D:$D,A768,Salidas_REM!$F:$F,C768,Salidas_REM!$B:$B,$B$1,Salidas_REM!$C:$C,"Realizada")</f>
        <v>0</v>
      </c>
    </row>
    <row r="769" customFormat="false" ht="15" hidden="false" customHeight="false" outlineLevel="0" collapsed="false">
      <c r="A769" s="5" t="s">
        <v>100</v>
      </c>
      <c r="B769" s="5" t="s">
        <v>101</v>
      </c>
      <c r="C769" s="5" t="s">
        <v>635</v>
      </c>
      <c r="D769" s="5" t="s">
        <v>966</v>
      </c>
      <c r="E769" s="5" t="s">
        <v>104</v>
      </c>
      <c r="F769" s="10" t="n">
        <f aca="false">SUMIFS(Salidas_REM!$I:$I,Salidas_REM!$D:$D,A769,Salidas_REM!$F:$F,C769,Salidas_REM!$B:$B,$B$1,Salidas_REM!$C:$C,"Realizada")</f>
        <v>0</v>
      </c>
    </row>
    <row r="770" customFormat="false" ht="15" hidden="false" customHeight="false" outlineLevel="0" collapsed="false">
      <c r="A770" s="5" t="s">
        <v>100</v>
      </c>
      <c r="B770" s="5" t="s">
        <v>101</v>
      </c>
      <c r="C770" s="5" t="s">
        <v>636</v>
      </c>
      <c r="D770" s="5" t="s">
        <v>966</v>
      </c>
      <c r="E770" s="5" t="s">
        <v>924</v>
      </c>
      <c r="F770" s="10" t="n">
        <f aca="false">SUMIFS(Salidas_REM!$I:$I,Salidas_REM!$D:$D,A770,Salidas_REM!$F:$F,C770,Salidas_REM!$B:$B,$B$1,Salidas_REM!$C:$C,"Realizada")</f>
        <v>0</v>
      </c>
    </row>
    <row r="771" customFormat="false" ht="15" hidden="false" customHeight="false" outlineLevel="0" collapsed="false">
      <c r="A771" s="5" t="s">
        <v>100</v>
      </c>
      <c r="B771" s="5" t="s">
        <v>101</v>
      </c>
      <c r="C771" s="5" t="s">
        <v>637</v>
      </c>
      <c r="D771" s="5" t="s">
        <v>966</v>
      </c>
      <c r="E771" s="5" t="s">
        <v>926</v>
      </c>
      <c r="F771" s="10" t="n">
        <f aca="false">SUMIFS(Salidas_REM!$I:$I,Salidas_REM!$D:$D,A771,Salidas_REM!$F:$F,C771,Salidas_REM!$B:$B,$B$1,Salidas_REM!$C:$C,"Realizada")</f>
        <v>0</v>
      </c>
    </row>
    <row r="772" customFormat="false" ht="15" hidden="false" customHeight="false" outlineLevel="0" collapsed="false">
      <c r="A772" s="5" t="s">
        <v>100</v>
      </c>
      <c r="B772" s="5" t="s">
        <v>101</v>
      </c>
      <c r="C772" s="5" t="s">
        <v>638</v>
      </c>
      <c r="D772" s="5" t="s">
        <v>966</v>
      </c>
      <c r="E772" s="5" t="s">
        <v>928</v>
      </c>
      <c r="F772" s="10" t="n">
        <f aca="false">SUMIFS(Salidas_REM!$I:$I,Salidas_REM!$D:$D,A772,Salidas_REM!$F:$F,C772,Salidas_REM!$B:$B,$B$1,Salidas_REM!$C:$C,"Realizada")</f>
        <v>0</v>
      </c>
    </row>
    <row r="773" customFormat="false" ht="15" hidden="false" customHeight="false" outlineLevel="0" collapsed="false">
      <c r="A773" s="5" t="s">
        <v>100</v>
      </c>
      <c r="B773" s="5" t="s">
        <v>101</v>
      </c>
      <c r="C773" s="5" t="s">
        <v>639</v>
      </c>
      <c r="D773" s="5" t="s">
        <v>966</v>
      </c>
      <c r="E773" s="5" t="s">
        <v>930</v>
      </c>
      <c r="F773" s="10" t="n">
        <f aca="false">SUMIFS(Salidas_REM!$I:$I,Salidas_REM!$D:$D,A773,Salidas_REM!$F:$F,C773,Salidas_REM!$B:$B,$B$1,Salidas_REM!$C:$C,"Realizada")</f>
        <v>0</v>
      </c>
    </row>
    <row r="774" customFormat="false" ht="15" hidden="false" customHeight="false" outlineLevel="0" collapsed="false">
      <c r="A774" s="5" t="s">
        <v>100</v>
      </c>
      <c r="B774" s="5" t="s">
        <v>101</v>
      </c>
      <c r="C774" s="5" t="s">
        <v>651</v>
      </c>
      <c r="D774" s="5" t="s">
        <v>967</v>
      </c>
      <c r="E774" s="5" t="s">
        <v>104</v>
      </c>
      <c r="F774" s="10" t="n">
        <f aca="false">SUMIFS(Salidas_REM!$I:$I,Salidas_REM!$D:$D,A774,Salidas_REM!$F:$F,C774,Salidas_REM!$B:$B,$B$1,Salidas_REM!$C:$C,"Realizada")</f>
        <v>0</v>
      </c>
    </row>
    <row r="775" customFormat="false" ht="15" hidden="false" customHeight="false" outlineLevel="0" collapsed="false">
      <c r="A775" s="5" t="s">
        <v>100</v>
      </c>
      <c r="B775" s="5" t="s">
        <v>101</v>
      </c>
      <c r="C775" s="5" t="s">
        <v>652</v>
      </c>
      <c r="D775" s="5" t="s">
        <v>967</v>
      </c>
      <c r="E775" s="5" t="s">
        <v>924</v>
      </c>
      <c r="F775" s="10" t="n">
        <f aca="false">SUMIFS(Salidas_REM!$I:$I,Salidas_REM!$D:$D,A775,Salidas_REM!$F:$F,C775,Salidas_REM!$B:$B,$B$1,Salidas_REM!$C:$C,"Realizada")</f>
        <v>0</v>
      </c>
    </row>
    <row r="776" customFormat="false" ht="15" hidden="false" customHeight="false" outlineLevel="0" collapsed="false">
      <c r="A776" s="5" t="s">
        <v>100</v>
      </c>
      <c r="B776" s="5" t="s">
        <v>101</v>
      </c>
      <c r="C776" s="5" t="s">
        <v>653</v>
      </c>
      <c r="D776" s="5" t="s">
        <v>967</v>
      </c>
      <c r="E776" s="5" t="s">
        <v>926</v>
      </c>
      <c r="F776" s="10" t="n">
        <f aca="false">SUMIFS(Salidas_REM!$I:$I,Salidas_REM!$D:$D,A776,Salidas_REM!$F:$F,C776,Salidas_REM!$B:$B,$B$1,Salidas_REM!$C:$C,"Realizada")</f>
        <v>0</v>
      </c>
    </row>
    <row r="777" customFormat="false" ht="15" hidden="false" customHeight="false" outlineLevel="0" collapsed="false">
      <c r="A777" s="5" t="s">
        <v>100</v>
      </c>
      <c r="B777" s="5" t="s">
        <v>101</v>
      </c>
      <c r="C777" s="5" t="s">
        <v>654</v>
      </c>
      <c r="D777" s="5" t="s">
        <v>967</v>
      </c>
      <c r="E777" s="5" t="s">
        <v>928</v>
      </c>
      <c r="F777" s="10" t="n">
        <f aca="false">SUMIFS(Salidas_REM!$I:$I,Salidas_REM!$D:$D,A777,Salidas_REM!$F:$F,C777,Salidas_REM!$B:$B,$B$1,Salidas_REM!$C:$C,"Realizada")</f>
        <v>0</v>
      </c>
    </row>
    <row r="778" customFormat="false" ht="15" hidden="false" customHeight="false" outlineLevel="0" collapsed="false">
      <c r="A778" s="5" t="s">
        <v>100</v>
      </c>
      <c r="B778" s="5" t="s">
        <v>101</v>
      </c>
      <c r="C778" s="5" t="s">
        <v>655</v>
      </c>
      <c r="D778" s="5" t="s">
        <v>967</v>
      </c>
      <c r="E778" s="5" t="s">
        <v>930</v>
      </c>
      <c r="F778" s="10" t="n">
        <f aca="false">SUMIFS(Salidas_REM!$I:$I,Salidas_REM!$D:$D,A778,Salidas_REM!$F:$F,C778,Salidas_REM!$B:$B,$B$1,Salidas_REM!$C:$C,"Realizada")</f>
        <v>0</v>
      </c>
    </row>
    <row r="779" customFormat="false" ht="15" hidden="false" customHeight="false" outlineLevel="0" collapsed="false">
      <c r="A779" s="5" t="s">
        <v>100</v>
      </c>
      <c r="B779" s="5" t="s">
        <v>101</v>
      </c>
      <c r="C779" s="5" t="s">
        <v>672</v>
      </c>
      <c r="D779" s="5" t="s">
        <v>968</v>
      </c>
      <c r="E779" s="5" t="s">
        <v>104</v>
      </c>
      <c r="F779" s="10" t="n">
        <f aca="false">SUMIFS(Salidas_REM!$I:$I,Salidas_REM!$D:$D,A779,Salidas_REM!$F:$F,C779,Salidas_REM!$B:$B,$B$1,Salidas_REM!$C:$C,"Realizada")</f>
        <v>0</v>
      </c>
    </row>
    <row r="780" customFormat="false" ht="15" hidden="false" customHeight="false" outlineLevel="0" collapsed="false">
      <c r="A780" s="5" t="s">
        <v>100</v>
      </c>
      <c r="B780" s="5" t="s">
        <v>101</v>
      </c>
      <c r="C780" s="5" t="s">
        <v>673</v>
      </c>
      <c r="D780" s="5" t="s">
        <v>968</v>
      </c>
      <c r="E780" s="5" t="s">
        <v>924</v>
      </c>
      <c r="F780" s="10" t="n">
        <f aca="false">SUMIFS(Salidas_REM!$I:$I,Salidas_REM!$D:$D,A780,Salidas_REM!$F:$F,C780,Salidas_REM!$B:$B,$B$1,Salidas_REM!$C:$C,"Realizada")</f>
        <v>0</v>
      </c>
    </row>
    <row r="781" customFormat="false" ht="15" hidden="false" customHeight="false" outlineLevel="0" collapsed="false">
      <c r="A781" s="5" t="s">
        <v>100</v>
      </c>
      <c r="B781" s="5" t="s">
        <v>101</v>
      </c>
      <c r="C781" s="5" t="s">
        <v>674</v>
      </c>
      <c r="D781" s="5" t="s">
        <v>968</v>
      </c>
      <c r="E781" s="5" t="s">
        <v>926</v>
      </c>
      <c r="F781" s="10" t="n">
        <f aca="false">SUMIFS(Salidas_REM!$I:$I,Salidas_REM!$D:$D,A781,Salidas_REM!$F:$F,C781,Salidas_REM!$B:$B,$B$1,Salidas_REM!$C:$C,"Realizada")</f>
        <v>0</v>
      </c>
    </row>
    <row r="782" customFormat="false" ht="15" hidden="false" customHeight="false" outlineLevel="0" collapsed="false">
      <c r="A782" s="5" t="s">
        <v>100</v>
      </c>
      <c r="B782" s="5" t="s">
        <v>101</v>
      </c>
      <c r="C782" s="5" t="s">
        <v>675</v>
      </c>
      <c r="D782" s="5" t="s">
        <v>968</v>
      </c>
      <c r="E782" s="5" t="s">
        <v>928</v>
      </c>
      <c r="F782" s="10" t="n">
        <f aca="false">SUMIFS(Salidas_REM!$I:$I,Salidas_REM!$D:$D,A782,Salidas_REM!$F:$F,C782,Salidas_REM!$B:$B,$B$1,Salidas_REM!$C:$C,"Realizada")</f>
        <v>0</v>
      </c>
    </row>
    <row r="783" customFormat="false" ht="15" hidden="false" customHeight="false" outlineLevel="0" collapsed="false">
      <c r="A783" s="5" t="s">
        <v>100</v>
      </c>
      <c r="B783" s="5" t="s">
        <v>101</v>
      </c>
      <c r="C783" s="5" t="s">
        <v>676</v>
      </c>
      <c r="D783" s="5" t="s">
        <v>968</v>
      </c>
      <c r="E783" s="5" t="s">
        <v>930</v>
      </c>
      <c r="F783" s="10" t="n">
        <f aca="false">SUMIFS(Salidas_REM!$I:$I,Salidas_REM!$D:$D,A783,Salidas_REM!$F:$F,C783,Salidas_REM!$B:$B,$B$1,Salidas_REM!$C:$C,"Realizada")</f>
        <v>0</v>
      </c>
    </row>
    <row r="784" customFormat="false" ht="15" hidden="false" customHeight="false" outlineLevel="0" collapsed="false">
      <c r="A784" s="5" t="s">
        <v>100</v>
      </c>
      <c r="B784" s="5" t="s">
        <v>101</v>
      </c>
      <c r="C784" s="5" t="s">
        <v>693</v>
      </c>
      <c r="D784" s="5" t="s">
        <v>969</v>
      </c>
      <c r="E784" s="5" t="s">
        <v>104</v>
      </c>
      <c r="F784" s="10" t="n">
        <f aca="false">SUMIFS(Salidas_REM!$I:$I,Salidas_REM!$D:$D,A784,Salidas_REM!$F:$F,C784,Salidas_REM!$B:$B,$B$1,Salidas_REM!$C:$C,"Realizada")</f>
        <v>0</v>
      </c>
    </row>
    <row r="785" customFormat="false" ht="15" hidden="false" customHeight="false" outlineLevel="0" collapsed="false">
      <c r="A785" s="5" t="s">
        <v>100</v>
      </c>
      <c r="B785" s="5" t="s">
        <v>101</v>
      </c>
      <c r="C785" s="5" t="s">
        <v>694</v>
      </c>
      <c r="D785" s="5" t="s">
        <v>969</v>
      </c>
      <c r="E785" s="5" t="s">
        <v>924</v>
      </c>
      <c r="F785" s="10" t="n">
        <f aca="false">SUMIFS(Salidas_REM!$I:$I,Salidas_REM!$D:$D,A785,Salidas_REM!$F:$F,C785,Salidas_REM!$B:$B,$B$1,Salidas_REM!$C:$C,"Realizada")</f>
        <v>0</v>
      </c>
    </row>
    <row r="786" customFormat="false" ht="15" hidden="false" customHeight="false" outlineLevel="0" collapsed="false">
      <c r="A786" s="5" t="s">
        <v>100</v>
      </c>
      <c r="B786" s="5" t="s">
        <v>101</v>
      </c>
      <c r="C786" s="5" t="s">
        <v>695</v>
      </c>
      <c r="D786" s="5" t="s">
        <v>969</v>
      </c>
      <c r="E786" s="5" t="s">
        <v>926</v>
      </c>
      <c r="F786" s="10" t="n">
        <f aca="false">SUMIFS(Salidas_REM!$I:$I,Salidas_REM!$D:$D,A786,Salidas_REM!$F:$F,C786,Salidas_REM!$B:$B,$B$1,Salidas_REM!$C:$C,"Realizada")</f>
        <v>0</v>
      </c>
    </row>
    <row r="787" customFormat="false" ht="15" hidden="false" customHeight="false" outlineLevel="0" collapsed="false">
      <c r="A787" s="5" t="s">
        <v>100</v>
      </c>
      <c r="B787" s="5" t="s">
        <v>101</v>
      </c>
      <c r="C787" s="5" t="s">
        <v>696</v>
      </c>
      <c r="D787" s="5" t="s">
        <v>969</v>
      </c>
      <c r="E787" s="5" t="s">
        <v>928</v>
      </c>
      <c r="F787" s="10" t="n">
        <f aca="false">SUMIFS(Salidas_REM!$I:$I,Salidas_REM!$D:$D,A787,Salidas_REM!$F:$F,C787,Salidas_REM!$B:$B,$B$1,Salidas_REM!$C:$C,"Realizada")</f>
        <v>0</v>
      </c>
    </row>
    <row r="788" customFormat="false" ht="15" hidden="false" customHeight="false" outlineLevel="0" collapsed="false">
      <c r="A788" s="5" t="s">
        <v>100</v>
      </c>
      <c r="B788" s="5" t="s">
        <v>101</v>
      </c>
      <c r="C788" s="5" t="s">
        <v>697</v>
      </c>
      <c r="D788" s="5" t="s">
        <v>969</v>
      </c>
      <c r="E788" s="5" t="s">
        <v>930</v>
      </c>
      <c r="F788" s="10" t="n">
        <f aca="false">SUMIFS(Salidas_REM!$I:$I,Salidas_REM!$D:$D,A788,Salidas_REM!$F:$F,C788,Salidas_REM!$B:$B,$B$1,Salidas_REM!$C:$C,"Realizada")</f>
        <v>0</v>
      </c>
    </row>
    <row r="789" customFormat="false" ht="15" hidden="false" customHeight="false" outlineLevel="0" collapsed="false">
      <c r="A789" s="5" t="s">
        <v>100</v>
      </c>
      <c r="B789" s="5" t="s">
        <v>101</v>
      </c>
      <c r="C789" s="5" t="s">
        <v>714</v>
      </c>
      <c r="D789" s="5" t="s">
        <v>970</v>
      </c>
      <c r="E789" s="5" t="s">
        <v>104</v>
      </c>
      <c r="F789" s="10" t="n">
        <f aca="false">SUMIFS(Salidas_REM!$I:$I,Salidas_REM!$D:$D,A789,Salidas_REM!$F:$F,C789,Salidas_REM!$B:$B,$B$1,Salidas_REM!$C:$C,"Realizada")</f>
        <v>0</v>
      </c>
    </row>
    <row r="790" customFormat="false" ht="15" hidden="false" customHeight="false" outlineLevel="0" collapsed="false">
      <c r="A790" s="5" t="s">
        <v>100</v>
      </c>
      <c r="B790" s="5" t="s">
        <v>101</v>
      </c>
      <c r="C790" s="5" t="s">
        <v>715</v>
      </c>
      <c r="D790" s="5" t="s">
        <v>970</v>
      </c>
      <c r="E790" s="5" t="s">
        <v>924</v>
      </c>
      <c r="F790" s="10" t="n">
        <f aca="false">SUMIFS(Salidas_REM!$I:$I,Salidas_REM!$D:$D,A790,Salidas_REM!$F:$F,C790,Salidas_REM!$B:$B,$B$1,Salidas_REM!$C:$C,"Realizada")</f>
        <v>0</v>
      </c>
    </row>
    <row r="791" customFormat="false" ht="15" hidden="false" customHeight="false" outlineLevel="0" collapsed="false">
      <c r="A791" s="5" t="s">
        <v>100</v>
      </c>
      <c r="B791" s="5" t="s">
        <v>101</v>
      </c>
      <c r="C791" s="5" t="s">
        <v>716</v>
      </c>
      <c r="D791" s="5" t="s">
        <v>970</v>
      </c>
      <c r="E791" s="5" t="s">
        <v>926</v>
      </c>
      <c r="F791" s="10" t="n">
        <f aca="false">SUMIFS(Salidas_REM!$I:$I,Salidas_REM!$D:$D,A791,Salidas_REM!$F:$F,C791,Salidas_REM!$B:$B,$B$1,Salidas_REM!$C:$C,"Realizada")</f>
        <v>0</v>
      </c>
    </row>
    <row r="792" customFormat="false" ht="15" hidden="false" customHeight="false" outlineLevel="0" collapsed="false">
      <c r="A792" s="5" t="s">
        <v>100</v>
      </c>
      <c r="B792" s="5" t="s">
        <v>101</v>
      </c>
      <c r="C792" s="5" t="s">
        <v>717</v>
      </c>
      <c r="D792" s="5" t="s">
        <v>970</v>
      </c>
      <c r="E792" s="5" t="s">
        <v>928</v>
      </c>
      <c r="F792" s="10" t="n">
        <f aca="false">SUMIFS(Salidas_REM!$I:$I,Salidas_REM!$D:$D,A792,Salidas_REM!$F:$F,C792,Salidas_REM!$B:$B,$B$1,Salidas_REM!$C:$C,"Realizada")</f>
        <v>0</v>
      </c>
    </row>
    <row r="793" customFormat="false" ht="15" hidden="false" customHeight="false" outlineLevel="0" collapsed="false">
      <c r="A793" s="5" t="s">
        <v>100</v>
      </c>
      <c r="B793" s="5" t="s">
        <v>101</v>
      </c>
      <c r="C793" s="5" t="s">
        <v>718</v>
      </c>
      <c r="D793" s="5" t="s">
        <v>970</v>
      </c>
      <c r="E793" s="5" t="s">
        <v>930</v>
      </c>
      <c r="F793" s="10" t="n">
        <f aca="false">SUMIFS(Salidas_REM!$I:$I,Salidas_REM!$D:$D,A793,Salidas_REM!$F:$F,C793,Salidas_REM!$B:$B,$B$1,Salidas_REM!$C:$C,"Realizada")</f>
        <v>0</v>
      </c>
    </row>
    <row r="794" customFormat="false" ht="15" hidden="false" customHeight="false" outlineLevel="0" collapsed="false">
      <c r="A794" s="5" t="s">
        <v>100</v>
      </c>
      <c r="B794" s="5" t="s">
        <v>101</v>
      </c>
      <c r="C794" s="5" t="s">
        <v>735</v>
      </c>
      <c r="D794" s="5" t="s">
        <v>971</v>
      </c>
      <c r="E794" s="5" t="s">
        <v>104</v>
      </c>
      <c r="F794" s="10" t="n">
        <f aca="false">SUMIFS(Salidas_REM!$I:$I,Salidas_REM!$D:$D,A794,Salidas_REM!$F:$F,C794,Salidas_REM!$B:$B,$B$1,Salidas_REM!$C:$C,"Realizada")</f>
        <v>0</v>
      </c>
    </row>
    <row r="795" customFormat="false" ht="15" hidden="false" customHeight="false" outlineLevel="0" collapsed="false">
      <c r="A795" s="5" t="s">
        <v>100</v>
      </c>
      <c r="B795" s="5" t="s">
        <v>101</v>
      </c>
      <c r="C795" s="5" t="s">
        <v>736</v>
      </c>
      <c r="D795" s="5" t="s">
        <v>971</v>
      </c>
      <c r="E795" s="5" t="s">
        <v>924</v>
      </c>
      <c r="F795" s="10" t="n">
        <f aca="false">SUMIFS(Salidas_REM!$I:$I,Salidas_REM!$D:$D,A795,Salidas_REM!$F:$F,C795,Salidas_REM!$B:$B,$B$1,Salidas_REM!$C:$C,"Realizada")</f>
        <v>0</v>
      </c>
    </row>
    <row r="796" customFormat="false" ht="15" hidden="false" customHeight="false" outlineLevel="0" collapsed="false">
      <c r="A796" s="5" t="s">
        <v>100</v>
      </c>
      <c r="B796" s="5" t="s">
        <v>101</v>
      </c>
      <c r="C796" s="5" t="s">
        <v>737</v>
      </c>
      <c r="D796" s="5" t="s">
        <v>971</v>
      </c>
      <c r="E796" s="5" t="s">
        <v>926</v>
      </c>
      <c r="F796" s="10" t="n">
        <f aca="false">SUMIFS(Salidas_REM!$I:$I,Salidas_REM!$D:$D,A796,Salidas_REM!$F:$F,C796,Salidas_REM!$B:$B,$B$1,Salidas_REM!$C:$C,"Realizada")</f>
        <v>0</v>
      </c>
    </row>
    <row r="797" customFormat="false" ht="15" hidden="false" customHeight="false" outlineLevel="0" collapsed="false">
      <c r="A797" s="5" t="s">
        <v>100</v>
      </c>
      <c r="B797" s="5" t="s">
        <v>101</v>
      </c>
      <c r="C797" s="5" t="s">
        <v>738</v>
      </c>
      <c r="D797" s="5" t="s">
        <v>971</v>
      </c>
      <c r="E797" s="5" t="s">
        <v>928</v>
      </c>
      <c r="F797" s="10" t="n">
        <f aca="false">SUMIFS(Salidas_REM!$I:$I,Salidas_REM!$D:$D,A797,Salidas_REM!$F:$F,C797,Salidas_REM!$B:$B,$B$1,Salidas_REM!$C:$C,"Realizada")</f>
        <v>0</v>
      </c>
    </row>
    <row r="798" customFormat="false" ht="15" hidden="false" customHeight="false" outlineLevel="0" collapsed="false">
      <c r="A798" s="5" t="s">
        <v>100</v>
      </c>
      <c r="B798" s="5" t="s">
        <v>101</v>
      </c>
      <c r="C798" s="5" t="s">
        <v>739</v>
      </c>
      <c r="D798" s="5" t="s">
        <v>971</v>
      </c>
      <c r="E798" s="5" t="s">
        <v>930</v>
      </c>
      <c r="F798" s="10" t="n">
        <f aca="false">SUMIFS(Salidas_REM!$I:$I,Salidas_REM!$D:$D,A798,Salidas_REM!$F:$F,C798,Salidas_REM!$B:$B,$B$1,Salidas_REM!$C:$C,"Realizada")</f>
        <v>0</v>
      </c>
    </row>
    <row r="799" customFormat="false" ht="15" hidden="false" customHeight="false" outlineLevel="0" collapsed="false">
      <c r="A799" s="5" t="s">
        <v>100</v>
      </c>
      <c r="B799" s="5" t="s">
        <v>101</v>
      </c>
      <c r="C799" s="5" t="s">
        <v>756</v>
      </c>
      <c r="D799" s="5" t="s">
        <v>972</v>
      </c>
      <c r="E799" s="5" t="s">
        <v>104</v>
      </c>
      <c r="F799" s="10" t="n">
        <f aca="false">SUMIFS(Salidas_REM!$I:$I,Salidas_REM!$D:$D,A799,Salidas_REM!$F:$F,C799,Salidas_REM!$B:$B,$B$1,Salidas_REM!$C:$C,"Realizada")</f>
        <v>0</v>
      </c>
    </row>
    <row r="800" customFormat="false" ht="15" hidden="false" customHeight="false" outlineLevel="0" collapsed="false">
      <c r="A800" s="5" t="s">
        <v>100</v>
      </c>
      <c r="B800" s="5" t="s">
        <v>101</v>
      </c>
      <c r="C800" s="5" t="s">
        <v>757</v>
      </c>
      <c r="D800" s="5" t="s">
        <v>972</v>
      </c>
      <c r="E800" s="5" t="s">
        <v>924</v>
      </c>
      <c r="F800" s="10" t="n">
        <f aca="false">SUMIFS(Salidas_REM!$I:$I,Salidas_REM!$D:$D,A800,Salidas_REM!$F:$F,C800,Salidas_REM!$B:$B,$B$1,Salidas_REM!$C:$C,"Realizada")</f>
        <v>0</v>
      </c>
    </row>
    <row r="801" customFormat="false" ht="15" hidden="false" customHeight="false" outlineLevel="0" collapsed="false">
      <c r="A801" s="5" t="s">
        <v>100</v>
      </c>
      <c r="B801" s="5" t="s">
        <v>101</v>
      </c>
      <c r="C801" s="5" t="s">
        <v>758</v>
      </c>
      <c r="D801" s="5" t="s">
        <v>972</v>
      </c>
      <c r="E801" s="5" t="s">
        <v>926</v>
      </c>
      <c r="F801" s="10" t="n">
        <f aca="false">SUMIFS(Salidas_REM!$I:$I,Salidas_REM!$D:$D,A801,Salidas_REM!$F:$F,C801,Salidas_REM!$B:$B,$B$1,Salidas_REM!$C:$C,"Realizada")</f>
        <v>0</v>
      </c>
    </row>
    <row r="802" customFormat="false" ht="15" hidden="false" customHeight="false" outlineLevel="0" collapsed="false">
      <c r="A802" s="5" t="s">
        <v>100</v>
      </c>
      <c r="B802" s="5" t="s">
        <v>101</v>
      </c>
      <c r="C802" s="5" t="s">
        <v>759</v>
      </c>
      <c r="D802" s="5" t="s">
        <v>972</v>
      </c>
      <c r="E802" s="5" t="s">
        <v>928</v>
      </c>
      <c r="F802" s="10" t="n">
        <f aca="false">SUMIFS(Salidas_REM!$I:$I,Salidas_REM!$D:$D,A802,Salidas_REM!$F:$F,C802,Salidas_REM!$B:$B,$B$1,Salidas_REM!$C:$C,"Realizada")</f>
        <v>0</v>
      </c>
    </row>
    <row r="803" customFormat="false" ht="15" hidden="false" customHeight="false" outlineLevel="0" collapsed="false">
      <c r="A803" s="5" t="s">
        <v>100</v>
      </c>
      <c r="B803" s="5" t="s">
        <v>101</v>
      </c>
      <c r="C803" s="5" t="s">
        <v>760</v>
      </c>
      <c r="D803" s="5" t="s">
        <v>972</v>
      </c>
      <c r="E803" s="5" t="s">
        <v>930</v>
      </c>
      <c r="F803" s="10" t="n">
        <f aca="false">SUMIFS(Salidas_REM!$I:$I,Salidas_REM!$D:$D,A803,Salidas_REM!$F:$F,C803,Salidas_REM!$B:$B,$B$1,Salidas_REM!$C:$C,"Realizada")</f>
        <v>0</v>
      </c>
    </row>
    <row r="804" customFormat="false" ht="15" hidden="false" customHeight="false" outlineLevel="0" collapsed="false">
      <c r="A804" s="5" t="s">
        <v>100</v>
      </c>
      <c r="B804" s="5" t="s">
        <v>101</v>
      </c>
      <c r="C804" s="5" t="s">
        <v>973</v>
      </c>
      <c r="D804" s="5" t="s">
        <v>974</v>
      </c>
      <c r="E804" s="5" t="s">
        <v>104</v>
      </c>
      <c r="F804" s="10" t="n">
        <f aca="false">SUMIFS(Salidas_REM!$I:$I,Salidas_REM!$D:$D,A804,Salidas_REM!$F:$F,C804,Salidas_REM!$B:$B,$B$1,Salidas_REM!$C:$C,"Realizada")</f>
        <v>0</v>
      </c>
    </row>
    <row r="805" customFormat="false" ht="15" hidden="false" customHeight="false" outlineLevel="0" collapsed="false">
      <c r="A805" s="5" t="s">
        <v>100</v>
      </c>
      <c r="B805" s="5" t="s">
        <v>101</v>
      </c>
      <c r="C805" s="5" t="s">
        <v>975</v>
      </c>
      <c r="D805" s="5" t="s">
        <v>974</v>
      </c>
      <c r="E805" s="5" t="s">
        <v>924</v>
      </c>
      <c r="F805" s="10" t="n">
        <f aca="false">SUMIFS(Salidas_REM!$I:$I,Salidas_REM!$D:$D,A805,Salidas_REM!$F:$F,C805,Salidas_REM!$B:$B,$B$1,Salidas_REM!$C:$C,"Realizada")</f>
        <v>0</v>
      </c>
    </row>
    <row r="806" customFormat="false" ht="15" hidden="false" customHeight="false" outlineLevel="0" collapsed="false">
      <c r="A806" s="5" t="s">
        <v>100</v>
      </c>
      <c r="B806" s="5" t="s">
        <v>101</v>
      </c>
      <c r="C806" s="5" t="s">
        <v>976</v>
      </c>
      <c r="D806" s="5" t="s">
        <v>974</v>
      </c>
      <c r="E806" s="5" t="s">
        <v>926</v>
      </c>
      <c r="F806" s="10" t="n">
        <f aca="false">SUMIFS(Salidas_REM!$I:$I,Salidas_REM!$D:$D,A806,Salidas_REM!$F:$F,C806,Salidas_REM!$B:$B,$B$1,Salidas_REM!$C:$C,"Realizada")</f>
        <v>0</v>
      </c>
    </row>
    <row r="807" customFormat="false" ht="15" hidden="false" customHeight="false" outlineLevel="0" collapsed="false">
      <c r="A807" s="5" t="s">
        <v>100</v>
      </c>
      <c r="B807" s="5" t="s">
        <v>101</v>
      </c>
      <c r="C807" s="5" t="s">
        <v>977</v>
      </c>
      <c r="D807" s="5" t="s">
        <v>974</v>
      </c>
      <c r="E807" s="5" t="s">
        <v>928</v>
      </c>
      <c r="F807" s="10" t="n">
        <f aca="false">SUMIFS(Salidas_REM!$I:$I,Salidas_REM!$D:$D,A807,Salidas_REM!$F:$F,C807,Salidas_REM!$B:$B,$B$1,Salidas_REM!$C:$C,"Realizada")</f>
        <v>0</v>
      </c>
    </row>
    <row r="808" customFormat="false" ht="15" hidden="false" customHeight="false" outlineLevel="0" collapsed="false">
      <c r="A808" s="5" t="s">
        <v>100</v>
      </c>
      <c r="B808" s="5" t="s">
        <v>101</v>
      </c>
      <c r="C808" s="5" t="s">
        <v>978</v>
      </c>
      <c r="D808" s="5" t="s">
        <v>974</v>
      </c>
      <c r="E808" s="5" t="s">
        <v>930</v>
      </c>
      <c r="F808" s="10" t="n">
        <f aca="false">SUMIFS(Salidas_REM!$I:$I,Salidas_REM!$D:$D,A808,Salidas_REM!$F:$F,C808,Salidas_REM!$B:$B,$B$1,Salidas_REM!$C:$C,"Realizada")</f>
        <v>0</v>
      </c>
    </row>
    <row r="809" customFormat="false" ht="15" hidden="false" customHeight="false" outlineLevel="0" collapsed="false">
      <c r="A809" s="5" t="s">
        <v>100</v>
      </c>
      <c r="B809" s="5" t="s">
        <v>101</v>
      </c>
      <c r="C809" s="5" t="s">
        <v>979</v>
      </c>
      <c r="D809" s="5" t="s">
        <v>980</v>
      </c>
      <c r="E809" s="5" t="s">
        <v>104</v>
      </c>
      <c r="F809" s="10" t="n">
        <f aca="false">SUMIFS(Salidas_REM!$I:$I,Salidas_REM!$D:$D,A809,Salidas_REM!$F:$F,C809,Salidas_REM!$B:$B,$B$1,Salidas_REM!$C:$C,"Realizada")</f>
        <v>0</v>
      </c>
    </row>
    <row r="810" customFormat="false" ht="15" hidden="false" customHeight="false" outlineLevel="0" collapsed="false">
      <c r="A810" s="5" t="s">
        <v>100</v>
      </c>
      <c r="B810" s="5" t="s">
        <v>101</v>
      </c>
      <c r="C810" s="5" t="s">
        <v>981</v>
      </c>
      <c r="D810" s="5" t="s">
        <v>980</v>
      </c>
      <c r="E810" s="5" t="s">
        <v>924</v>
      </c>
      <c r="F810" s="10" t="n">
        <f aca="false">SUMIFS(Salidas_REM!$I:$I,Salidas_REM!$D:$D,A810,Salidas_REM!$F:$F,C810,Salidas_REM!$B:$B,$B$1,Salidas_REM!$C:$C,"Realizada")</f>
        <v>0</v>
      </c>
    </row>
    <row r="811" customFormat="false" ht="15" hidden="false" customHeight="false" outlineLevel="0" collapsed="false">
      <c r="A811" s="5" t="s">
        <v>100</v>
      </c>
      <c r="B811" s="5" t="s">
        <v>101</v>
      </c>
      <c r="C811" s="5" t="s">
        <v>982</v>
      </c>
      <c r="D811" s="5" t="s">
        <v>980</v>
      </c>
      <c r="E811" s="5" t="s">
        <v>926</v>
      </c>
      <c r="F811" s="10" t="n">
        <f aca="false">SUMIFS(Salidas_REM!$I:$I,Salidas_REM!$D:$D,A811,Salidas_REM!$F:$F,C811,Salidas_REM!$B:$B,$B$1,Salidas_REM!$C:$C,"Realizada")</f>
        <v>0</v>
      </c>
    </row>
    <row r="812" customFormat="false" ht="15" hidden="false" customHeight="false" outlineLevel="0" collapsed="false">
      <c r="A812" s="5" t="s">
        <v>100</v>
      </c>
      <c r="B812" s="5" t="s">
        <v>101</v>
      </c>
      <c r="C812" s="5" t="s">
        <v>983</v>
      </c>
      <c r="D812" s="5" t="s">
        <v>980</v>
      </c>
      <c r="E812" s="5" t="s">
        <v>928</v>
      </c>
      <c r="F812" s="10" t="n">
        <f aca="false">SUMIFS(Salidas_REM!$I:$I,Salidas_REM!$D:$D,A812,Salidas_REM!$F:$F,C812,Salidas_REM!$B:$B,$B$1,Salidas_REM!$C:$C,"Realizada")</f>
        <v>0</v>
      </c>
    </row>
    <row r="813" customFormat="false" ht="15" hidden="false" customHeight="false" outlineLevel="0" collapsed="false">
      <c r="A813" s="5" t="s">
        <v>100</v>
      </c>
      <c r="B813" s="5" t="s">
        <v>101</v>
      </c>
      <c r="C813" s="5" t="s">
        <v>984</v>
      </c>
      <c r="D813" s="5" t="s">
        <v>980</v>
      </c>
      <c r="E813" s="5" t="s">
        <v>930</v>
      </c>
      <c r="F813" s="10" t="n">
        <f aca="false">SUMIFS(Salidas_REM!$I:$I,Salidas_REM!$D:$D,A813,Salidas_REM!$F:$F,C813,Salidas_REM!$B:$B,$B$1,Salidas_REM!$C:$C,"Realizada")</f>
        <v>0</v>
      </c>
    </row>
    <row r="814" customFormat="false" ht="15" hidden="false" customHeight="false" outlineLevel="0" collapsed="false">
      <c r="A814" s="5" t="s">
        <v>100</v>
      </c>
      <c r="B814" s="5" t="s">
        <v>101</v>
      </c>
      <c r="C814" s="5" t="s">
        <v>985</v>
      </c>
      <c r="D814" s="5" t="s">
        <v>986</v>
      </c>
      <c r="E814" s="5" t="s">
        <v>104</v>
      </c>
      <c r="F814" s="10" t="n">
        <f aca="false">SUMIFS(Salidas_REM!$I:$I,Salidas_REM!$D:$D,A814,Salidas_REM!$F:$F,C814,Salidas_REM!$B:$B,$B$1,Salidas_REM!$C:$C,"Realizada")</f>
        <v>0</v>
      </c>
    </row>
    <row r="815" customFormat="false" ht="15" hidden="false" customHeight="false" outlineLevel="0" collapsed="false">
      <c r="A815" s="5" t="s">
        <v>100</v>
      </c>
      <c r="B815" s="5" t="s">
        <v>101</v>
      </c>
      <c r="C815" s="5" t="s">
        <v>987</v>
      </c>
      <c r="D815" s="5" t="s">
        <v>986</v>
      </c>
      <c r="E815" s="5" t="s">
        <v>924</v>
      </c>
      <c r="F815" s="10" t="n">
        <f aca="false">SUMIFS(Salidas_REM!$I:$I,Salidas_REM!$D:$D,A815,Salidas_REM!$F:$F,C815,Salidas_REM!$B:$B,$B$1,Salidas_REM!$C:$C,"Realizada")</f>
        <v>0</v>
      </c>
    </row>
    <row r="816" customFormat="false" ht="15" hidden="false" customHeight="false" outlineLevel="0" collapsed="false">
      <c r="A816" s="5" t="s">
        <v>100</v>
      </c>
      <c r="B816" s="5" t="s">
        <v>101</v>
      </c>
      <c r="C816" s="5" t="s">
        <v>988</v>
      </c>
      <c r="D816" s="5" t="s">
        <v>986</v>
      </c>
      <c r="E816" s="5" t="s">
        <v>926</v>
      </c>
      <c r="F816" s="10" t="n">
        <f aca="false">SUMIFS(Salidas_REM!$I:$I,Salidas_REM!$D:$D,A816,Salidas_REM!$F:$F,C816,Salidas_REM!$B:$B,$B$1,Salidas_REM!$C:$C,"Realizada")</f>
        <v>0</v>
      </c>
    </row>
    <row r="817" customFormat="false" ht="15" hidden="false" customHeight="false" outlineLevel="0" collapsed="false">
      <c r="A817" s="5" t="s">
        <v>100</v>
      </c>
      <c r="B817" s="5" t="s">
        <v>101</v>
      </c>
      <c r="C817" s="5" t="s">
        <v>989</v>
      </c>
      <c r="D817" s="5" t="s">
        <v>986</v>
      </c>
      <c r="E817" s="5" t="s">
        <v>928</v>
      </c>
      <c r="F817" s="10" t="n">
        <f aca="false">SUMIFS(Salidas_REM!$I:$I,Salidas_REM!$D:$D,A817,Salidas_REM!$F:$F,C817,Salidas_REM!$B:$B,$B$1,Salidas_REM!$C:$C,"Realizada")</f>
        <v>0</v>
      </c>
    </row>
    <row r="818" customFormat="false" ht="15" hidden="false" customHeight="false" outlineLevel="0" collapsed="false">
      <c r="A818" s="5" t="s">
        <v>100</v>
      </c>
      <c r="B818" s="5" t="s">
        <v>101</v>
      </c>
      <c r="C818" s="5" t="s">
        <v>990</v>
      </c>
      <c r="D818" s="5" t="s">
        <v>986</v>
      </c>
      <c r="E818" s="5" t="s">
        <v>930</v>
      </c>
      <c r="F818" s="10" t="n">
        <f aca="false">SUMIFS(Salidas_REM!$I:$I,Salidas_REM!$D:$D,A818,Salidas_REM!$F:$F,C818,Salidas_REM!$B:$B,$B$1,Salidas_REM!$C:$C,"Realizada")</f>
        <v>0</v>
      </c>
    </row>
    <row r="819" customFormat="false" ht="15" hidden="false" customHeight="false" outlineLevel="0" collapsed="false">
      <c r="A819" s="5" t="s">
        <v>100</v>
      </c>
      <c r="B819" s="5" t="s">
        <v>101</v>
      </c>
      <c r="C819" s="5" t="s">
        <v>991</v>
      </c>
      <c r="D819" s="5" t="s">
        <v>992</v>
      </c>
      <c r="E819" s="5" t="s">
        <v>104</v>
      </c>
      <c r="F819" s="10" t="n">
        <f aca="false">SUMIFS(Salidas_REM!$I:$I,Salidas_REM!$D:$D,A819,Salidas_REM!$F:$F,C819,Salidas_REM!$B:$B,$B$1,Salidas_REM!$C:$C,"Realizada")</f>
        <v>0</v>
      </c>
    </row>
    <row r="820" customFormat="false" ht="15" hidden="false" customHeight="false" outlineLevel="0" collapsed="false">
      <c r="A820" s="5" t="s">
        <v>100</v>
      </c>
      <c r="B820" s="5" t="s">
        <v>101</v>
      </c>
      <c r="C820" s="5" t="s">
        <v>993</v>
      </c>
      <c r="D820" s="5" t="s">
        <v>992</v>
      </c>
      <c r="E820" s="5" t="s">
        <v>924</v>
      </c>
      <c r="F820" s="10" t="n">
        <f aca="false">SUMIFS(Salidas_REM!$I:$I,Salidas_REM!$D:$D,A820,Salidas_REM!$F:$F,C820,Salidas_REM!$B:$B,$B$1,Salidas_REM!$C:$C,"Realizada")</f>
        <v>0</v>
      </c>
    </row>
    <row r="821" customFormat="false" ht="15" hidden="false" customHeight="false" outlineLevel="0" collapsed="false">
      <c r="A821" s="5" t="s">
        <v>100</v>
      </c>
      <c r="B821" s="5" t="s">
        <v>101</v>
      </c>
      <c r="C821" s="5" t="s">
        <v>994</v>
      </c>
      <c r="D821" s="5" t="s">
        <v>992</v>
      </c>
      <c r="E821" s="5" t="s">
        <v>926</v>
      </c>
      <c r="F821" s="10" t="n">
        <f aca="false">SUMIFS(Salidas_REM!$I:$I,Salidas_REM!$D:$D,A821,Salidas_REM!$F:$F,C821,Salidas_REM!$B:$B,$B$1,Salidas_REM!$C:$C,"Realizada")</f>
        <v>0</v>
      </c>
    </row>
    <row r="822" customFormat="false" ht="15" hidden="false" customHeight="false" outlineLevel="0" collapsed="false">
      <c r="A822" s="5" t="s">
        <v>100</v>
      </c>
      <c r="B822" s="5" t="s">
        <v>101</v>
      </c>
      <c r="C822" s="5" t="s">
        <v>995</v>
      </c>
      <c r="D822" s="5" t="s">
        <v>992</v>
      </c>
      <c r="E822" s="5" t="s">
        <v>928</v>
      </c>
      <c r="F822" s="10" t="n">
        <f aca="false">SUMIFS(Salidas_REM!$I:$I,Salidas_REM!$D:$D,A822,Salidas_REM!$F:$F,C822,Salidas_REM!$B:$B,$B$1,Salidas_REM!$C:$C,"Realizada")</f>
        <v>0</v>
      </c>
    </row>
    <row r="823" customFormat="false" ht="15" hidden="false" customHeight="false" outlineLevel="0" collapsed="false">
      <c r="A823" s="5" t="s">
        <v>100</v>
      </c>
      <c r="B823" s="5" t="s">
        <v>101</v>
      </c>
      <c r="C823" s="5" t="s">
        <v>996</v>
      </c>
      <c r="D823" s="5" t="s">
        <v>992</v>
      </c>
      <c r="E823" s="5" t="s">
        <v>930</v>
      </c>
      <c r="F823" s="10" t="n">
        <f aca="false">SUMIFS(Salidas_REM!$I:$I,Salidas_REM!$D:$D,A823,Salidas_REM!$F:$F,C823,Salidas_REM!$B:$B,$B$1,Salidas_REM!$C:$C,"Realizada")</f>
        <v>0</v>
      </c>
    </row>
    <row r="824" customFormat="false" ht="15" hidden="false" customHeight="false" outlineLevel="0" collapsed="false">
      <c r="A824" s="5" t="s">
        <v>100</v>
      </c>
      <c r="B824" s="5" t="s">
        <v>101</v>
      </c>
      <c r="C824" s="5" t="s">
        <v>777</v>
      </c>
      <c r="D824" s="5" t="s">
        <v>997</v>
      </c>
      <c r="E824" s="5" t="s">
        <v>104</v>
      </c>
      <c r="F824" s="10" t="n">
        <f aca="false">SUMIFS(Salidas_REM!$I:$I,Salidas_REM!$D:$D,A824,Salidas_REM!$F:$F,C824,Salidas_REM!$B:$B,$B$1,Salidas_REM!$C:$C,"Realizada")</f>
        <v>0</v>
      </c>
    </row>
    <row r="825" customFormat="false" ht="15" hidden="false" customHeight="false" outlineLevel="0" collapsed="false">
      <c r="A825" s="5" t="s">
        <v>100</v>
      </c>
      <c r="B825" s="5" t="s">
        <v>101</v>
      </c>
      <c r="C825" s="5" t="s">
        <v>778</v>
      </c>
      <c r="D825" s="5" t="s">
        <v>997</v>
      </c>
      <c r="E825" s="5" t="s">
        <v>924</v>
      </c>
      <c r="F825" s="10" t="n">
        <f aca="false">SUMIFS(Salidas_REM!$I:$I,Salidas_REM!$D:$D,A825,Salidas_REM!$F:$F,C825,Salidas_REM!$B:$B,$B$1,Salidas_REM!$C:$C,"Realizada")</f>
        <v>0</v>
      </c>
    </row>
    <row r="826" customFormat="false" ht="15" hidden="false" customHeight="false" outlineLevel="0" collapsed="false">
      <c r="A826" s="5" t="s">
        <v>100</v>
      </c>
      <c r="B826" s="5" t="s">
        <v>101</v>
      </c>
      <c r="C826" s="5" t="s">
        <v>779</v>
      </c>
      <c r="D826" s="5" t="s">
        <v>997</v>
      </c>
      <c r="E826" s="5" t="s">
        <v>926</v>
      </c>
      <c r="F826" s="10" t="n">
        <f aca="false">SUMIFS(Salidas_REM!$I:$I,Salidas_REM!$D:$D,A826,Salidas_REM!$F:$F,C826,Salidas_REM!$B:$B,$B$1,Salidas_REM!$C:$C,"Realizada")</f>
        <v>0</v>
      </c>
    </row>
    <row r="827" customFormat="false" ht="15" hidden="false" customHeight="false" outlineLevel="0" collapsed="false">
      <c r="A827" s="5" t="s">
        <v>100</v>
      </c>
      <c r="B827" s="5" t="s">
        <v>101</v>
      </c>
      <c r="C827" s="5" t="s">
        <v>780</v>
      </c>
      <c r="D827" s="5" t="s">
        <v>997</v>
      </c>
      <c r="E827" s="5" t="s">
        <v>928</v>
      </c>
      <c r="F827" s="10" t="n">
        <f aca="false">SUMIFS(Salidas_REM!$I:$I,Salidas_REM!$D:$D,A827,Salidas_REM!$F:$F,C827,Salidas_REM!$B:$B,$B$1,Salidas_REM!$C:$C,"Realizada")</f>
        <v>0</v>
      </c>
    </row>
    <row r="828" customFormat="false" ht="15" hidden="false" customHeight="false" outlineLevel="0" collapsed="false">
      <c r="A828" s="5" t="s">
        <v>100</v>
      </c>
      <c r="B828" s="5" t="s">
        <v>101</v>
      </c>
      <c r="C828" s="5" t="s">
        <v>781</v>
      </c>
      <c r="D828" s="5" t="s">
        <v>997</v>
      </c>
      <c r="E828" s="5" t="s">
        <v>930</v>
      </c>
      <c r="F828" s="10" t="n">
        <f aca="false">SUMIFS(Salidas_REM!$I:$I,Salidas_REM!$D:$D,A828,Salidas_REM!$F:$F,C828,Salidas_REM!$B:$B,$B$1,Salidas_REM!$C:$C,"Realizada")</f>
        <v>0</v>
      </c>
    </row>
    <row r="829" customFormat="false" ht="15" hidden="false" customHeight="false" outlineLevel="0" collapsed="false">
      <c r="A829" s="5" t="s">
        <v>100</v>
      </c>
      <c r="B829" s="5" t="s">
        <v>101</v>
      </c>
      <c r="C829" s="5" t="s">
        <v>788</v>
      </c>
      <c r="D829" s="5" t="s">
        <v>998</v>
      </c>
      <c r="E829" s="5" t="s">
        <v>104</v>
      </c>
      <c r="F829" s="10" t="n">
        <f aca="false">SUMIFS(Salidas_REM!$I:$I,Salidas_REM!$D:$D,A829,Salidas_REM!$F:$F,C829,Salidas_REM!$B:$B,$B$1,Salidas_REM!$C:$C,"Realizada")</f>
        <v>0</v>
      </c>
    </row>
    <row r="830" customFormat="false" ht="15" hidden="false" customHeight="false" outlineLevel="0" collapsed="false">
      <c r="A830" s="5" t="s">
        <v>100</v>
      </c>
      <c r="B830" s="5" t="s">
        <v>101</v>
      </c>
      <c r="C830" s="5" t="s">
        <v>789</v>
      </c>
      <c r="D830" s="5" t="s">
        <v>998</v>
      </c>
      <c r="E830" s="5" t="s">
        <v>924</v>
      </c>
      <c r="F830" s="10" t="n">
        <f aca="false">SUMIFS(Salidas_REM!$I:$I,Salidas_REM!$D:$D,A830,Salidas_REM!$F:$F,C830,Salidas_REM!$B:$B,$B$1,Salidas_REM!$C:$C,"Realizada")</f>
        <v>0</v>
      </c>
    </row>
    <row r="831" customFormat="false" ht="15" hidden="false" customHeight="false" outlineLevel="0" collapsed="false">
      <c r="A831" s="5" t="s">
        <v>100</v>
      </c>
      <c r="B831" s="5" t="s">
        <v>101</v>
      </c>
      <c r="C831" s="5" t="s">
        <v>790</v>
      </c>
      <c r="D831" s="5" t="s">
        <v>998</v>
      </c>
      <c r="E831" s="5" t="s">
        <v>926</v>
      </c>
      <c r="F831" s="10" t="n">
        <f aca="false">SUMIFS(Salidas_REM!$I:$I,Salidas_REM!$D:$D,A831,Salidas_REM!$F:$F,C831,Salidas_REM!$B:$B,$B$1,Salidas_REM!$C:$C,"Realizada")</f>
        <v>0</v>
      </c>
    </row>
    <row r="832" customFormat="false" ht="15" hidden="false" customHeight="false" outlineLevel="0" collapsed="false">
      <c r="A832" s="5" t="s">
        <v>100</v>
      </c>
      <c r="B832" s="5" t="s">
        <v>101</v>
      </c>
      <c r="C832" s="5" t="s">
        <v>791</v>
      </c>
      <c r="D832" s="5" t="s">
        <v>998</v>
      </c>
      <c r="E832" s="5" t="s">
        <v>928</v>
      </c>
      <c r="F832" s="10" t="n">
        <f aca="false">SUMIFS(Salidas_REM!$I:$I,Salidas_REM!$D:$D,A832,Salidas_REM!$F:$F,C832,Salidas_REM!$B:$B,$B$1,Salidas_REM!$C:$C,"Realizada")</f>
        <v>0</v>
      </c>
    </row>
    <row r="833" customFormat="false" ht="15" hidden="false" customHeight="false" outlineLevel="0" collapsed="false">
      <c r="A833" s="5" t="s">
        <v>100</v>
      </c>
      <c r="B833" s="5" t="s">
        <v>101</v>
      </c>
      <c r="C833" s="5" t="s">
        <v>792</v>
      </c>
      <c r="D833" s="5" t="s">
        <v>998</v>
      </c>
      <c r="E833" s="5" t="s">
        <v>930</v>
      </c>
      <c r="F833" s="10" t="n">
        <f aca="false">SUMIFS(Salidas_REM!$I:$I,Salidas_REM!$D:$D,A833,Salidas_REM!$F:$F,C833,Salidas_REM!$B:$B,$B$1,Salidas_REM!$C:$C,"Realizada")</f>
        <v>0</v>
      </c>
    </row>
    <row r="834" customFormat="false" ht="15" hidden="false" customHeight="false" outlineLevel="0" collapsed="false">
      <c r="A834" s="5" t="s">
        <v>100</v>
      </c>
      <c r="B834" s="5" t="s">
        <v>101</v>
      </c>
      <c r="C834" s="5" t="s">
        <v>799</v>
      </c>
      <c r="D834" s="5" t="s">
        <v>999</v>
      </c>
      <c r="E834" s="5" t="s">
        <v>104</v>
      </c>
      <c r="F834" s="10" t="n">
        <f aca="false">SUMIFS(Salidas_REM!$I:$I,Salidas_REM!$D:$D,A834,Salidas_REM!$F:$F,C834,Salidas_REM!$B:$B,$B$1,Salidas_REM!$C:$C,"Realizada")</f>
        <v>0</v>
      </c>
    </row>
    <row r="835" customFormat="false" ht="15" hidden="false" customHeight="false" outlineLevel="0" collapsed="false">
      <c r="A835" s="5" t="s">
        <v>100</v>
      </c>
      <c r="B835" s="5" t="s">
        <v>101</v>
      </c>
      <c r="C835" s="5" t="s">
        <v>800</v>
      </c>
      <c r="D835" s="5" t="s">
        <v>999</v>
      </c>
      <c r="E835" s="5" t="s">
        <v>924</v>
      </c>
      <c r="F835" s="10" t="n">
        <f aca="false">SUMIFS(Salidas_REM!$I:$I,Salidas_REM!$D:$D,A835,Salidas_REM!$F:$F,C835,Salidas_REM!$B:$B,$B$1,Salidas_REM!$C:$C,"Realizada")</f>
        <v>0</v>
      </c>
    </row>
    <row r="836" customFormat="false" ht="15" hidden="false" customHeight="false" outlineLevel="0" collapsed="false">
      <c r="A836" s="5" t="s">
        <v>100</v>
      </c>
      <c r="B836" s="5" t="s">
        <v>101</v>
      </c>
      <c r="C836" s="5" t="s">
        <v>801</v>
      </c>
      <c r="D836" s="5" t="s">
        <v>999</v>
      </c>
      <c r="E836" s="5" t="s">
        <v>926</v>
      </c>
      <c r="F836" s="10" t="n">
        <f aca="false">SUMIFS(Salidas_REM!$I:$I,Salidas_REM!$D:$D,A836,Salidas_REM!$F:$F,C836,Salidas_REM!$B:$B,$B$1,Salidas_REM!$C:$C,"Realizada")</f>
        <v>0</v>
      </c>
    </row>
    <row r="837" customFormat="false" ht="15" hidden="false" customHeight="false" outlineLevel="0" collapsed="false">
      <c r="A837" s="5" t="s">
        <v>100</v>
      </c>
      <c r="B837" s="5" t="s">
        <v>101</v>
      </c>
      <c r="C837" s="5" t="s">
        <v>802</v>
      </c>
      <c r="D837" s="5" t="s">
        <v>999</v>
      </c>
      <c r="E837" s="5" t="s">
        <v>928</v>
      </c>
      <c r="F837" s="10" t="n">
        <f aca="false">SUMIFS(Salidas_REM!$I:$I,Salidas_REM!$D:$D,A837,Salidas_REM!$F:$F,C837,Salidas_REM!$B:$B,$B$1,Salidas_REM!$C:$C,"Realizada")</f>
        <v>0</v>
      </c>
    </row>
    <row r="838" customFormat="false" ht="15" hidden="false" customHeight="false" outlineLevel="0" collapsed="false">
      <c r="A838" s="5" t="s">
        <v>100</v>
      </c>
      <c r="B838" s="5" t="s">
        <v>101</v>
      </c>
      <c r="C838" s="5" t="s">
        <v>803</v>
      </c>
      <c r="D838" s="5" t="s">
        <v>999</v>
      </c>
      <c r="E838" s="5" t="s">
        <v>930</v>
      </c>
      <c r="F838" s="10" t="n">
        <f aca="false">SUMIFS(Salidas_REM!$I:$I,Salidas_REM!$D:$D,A838,Salidas_REM!$F:$F,C838,Salidas_REM!$B:$B,$B$1,Salidas_REM!$C:$C,"Realizada")</f>
        <v>0</v>
      </c>
    </row>
    <row r="839" customFormat="false" ht="15" hidden="false" customHeight="false" outlineLevel="0" collapsed="false">
      <c r="A839" s="5" t="s">
        <v>100</v>
      </c>
      <c r="B839" s="5" t="s">
        <v>101</v>
      </c>
      <c r="C839" s="5" t="s">
        <v>810</v>
      </c>
      <c r="D839" s="5" t="s">
        <v>1000</v>
      </c>
      <c r="E839" s="5" t="s">
        <v>104</v>
      </c>
      <c r="F839" s="10" t="n">
        <f aca="false">SUMIFS(Salidas_REM!$I:$I,Salidas_REM!$D:$D,A839,Salidas_REM!$F:$F,C839,Salidas_REM!$B:$B,$B$1,Salidas_REM!$C:$C,"Realizada")</f>
        <v>0</v>
      </c>
    </row>
    <row r="840" customFormat="false" ht="15" hidden="false" customHeight="false" outlineLevel="0" collapsed="false">
      <c r="A840" s="5" t="s">
        <v>100</v>
      </c>
      <c r="B840" s="5" t="s">
        <v>101</v>
      </c>
      <c r="C840" s="5" t="s">
        <v>811</v>
      </c>
      <c r="D840" s="5" t="s">
        <v>1000</v>
      </c>
      <c r="E840" s="5" t="s">
        <v>924</v>
      </c>
      <c r="F840" s="10" t="n">
        <f aca="false">SUMIFS(Salidas_REM!$I:$I,Salidas_REM!$D:$D,A840,Salidas_REM!$F:$F,C840,Salidas_REM!$B:$B,$B$1,Salidas_REM!$C:$C,"Realizada")</f>
        <v>0</v>
      </c>
    </row>
    <row r="841" customFormat="false" ht="15" hidden="false" customHeight="false" outlineLevel="0" collapsed="false">
      <c r="A841" s="5" t="s">
        <v>100</v>
      </c>
      <c r="B841" s="5" t="s">
        <v>101</v>
      </c>
      <c r="C841" s="5" t="s">
        <v>812</v>
      </c>
      <c r="D841" s="5" t="s">
        <v>1000</v>
      </c>
      <c r="E841" s="5" t="s">
        <v>926</v>
      </c>
      <c r="F841" s="10" t="n">
        <f aca="false">SUMIFS(Salidas_REM!$I:$I,Salidas_REM!$D:$D,A841,Salidas_REM!$F:$F,C841,Salidas_REM!$B:$B,$B$1,Salidas_REM!$C:$C,"Realizada")</f>
        <v>0</v>
      </c>
    </row>
    <row r="842" customFormat="false" ht="15" hidden="false" customHeight="false" outlineLevel="0" collapsed="false">
      <c r="A842" s="5" t="s">
        <v>100</v>
      </c>
      <c r="B842" s="5" t="s">
        <v>101</v>
      </c>
      <c r="C842" s="5" t="s">
        <v>813</v>
      </c>
      <c r="D842" s="5" t="s">
        <v>1000</v>
      </c>
      <c r="E842" s="5" t="s">
        <v>928</v>
      </c>
      <c r="F842" s="10" t="n">
        <f aca="false">SUMIFS(Salidas_REM!$I:$I,Salidas_REM!$D:$D,A842,Salidas_REM!$F:$F,C842,Salidas_REM!$B:$B,$B$1,Salidas_REM!$C:$C,"Realizada")</f>
        <v>0</v>
      </c>
    </row>
    <row r="843" customFormat="false" ht="15" hidden="false" customHeight="false" outlineLevel="0" collapsed="false">
      <c r="A843" s="5" t="s">
        <v>100</v>
      </c>
      <c r="B843" s="5" t="s">
        <v>101</v>
      </c>
      <c r="C843" s="5" t="s">
        <v>814</v>
      </c>
      <c r="D843" s="5" t="s">
        <v>1000</v>
      </c>
      <c r="E843" s="5" t="s">
        <v>930</v>
      </c>
      <c r="F843" s="10" t="n">
        <f aca="false">SUMIFS(Salidas_REM!$I:$I,Salidas_REM!$D:$D,A843,Salidas_REM!$F:$F,C843,Salidas_REM!$B:$B,$B$1,Salidas_REM!$C:$C,"Realizada")</f>
        <v>0</v>
      </c>
    </row>
    <row r="844" customFormat="false" ht="15" hidden="false" customHeight="false" outlineLevel="0" collapsed="false">
      <c r="A844" s="5" t="s">
        <v>100</v>
      </c>
      <c r="B844" s="5" t="s">
        <v>101</v>
      </c>
      <c r="C844" s="5" t="s">
        <v>821</v>
      </c>
      <c r="D844" s="5" t="s">
        <v>1001</v>
      </c>
      <c r="E844" s="5" t="s">
        <v>104</v>
      </c>
      <c r="F844" s="10" t="n">
        <f aca="false">SUMIFS(Salidas_REM!$I:$I,Salidas_REM!$D:$D,A844,Salidas_REM!$F:$F,C844,Salidas_REM!$B:$B,$B$1,Salidas_REM!$C:$C,"Realizada")</f>
        <v>0</v>
      </c>
    </row>
    <row r="845" customFormat="false" ht="15" hidden="false" customHeight="false" outlineLevel="0" collapsed="false">
      <c r="A845" s="5" t="s">
        <v>100</v>
      </c>
      <c r="B845" s="5" t="s">
        <v>101</v>
      </c>
      <c r="C845" s="5" t="s">
        <v>822</v>
      </c>
      <c r="D845" s="5" t="s">
        <v>1001</v>
      </c>
      <c r="E845" s="5" t="s">
        <v>924</v>
      </c>
      <c r="F845" s="10" t="n">
        <f aca="false">SUMIFS(Salidas_REM!$I:$I,Salidas_REM!$D:$D,A845,Salidas_REM!$F:$F,C845,Salidas_REM!$B:$B,$B$1,Salidas_REM!$C:$C,"Realizada")</f>
        <v>0</v>
      </c>
    </row>
    <row r="846" customFormat="false" ht="15" hidden="false" customHeight="false" outlineLevel="0" collapsed="false">
      <c r="A846" s="5" t="s">
        <v>100</v>
      </c>
      <c r="B846" s="5" t="s">
        <v>101</v>
      </c>
      <c r="C846" s="5" t="s">
        <v>823</v>
      </c>
      <c r="D846" s="5" t="s">
        <v>1001</v>
      </c>
      <c r="E846" s="5" t="s">
        <v>926</v>
      </c>
      <c r="F846" s="10" t="n">
        <f aca="false">SUMIFS(Salidas_REM!$I:$I,Salidas_REM!$D:$D,A846,Salidas_REM!$F:$F,C846,Salidas_REM!$B:$B,$B$1,Salidas_REM!$C:$C,"Realizada")</f>
        <v>0</v>
      </c>
    </row>
    <row r="847" customFormat="false" ht="15" hidden="false" customHeight="false" outlineLevel="0" collapsed="false">
      <c r="A847" s="5" t="s">
        <v>100</v>
      </c>
      <c r="B847" s="5" t="s">
        <v>101</v>
      </c>
      <c r="C847" s="5" t="s">
        <v>824</v>
      </c>
      <c r="D847" s="5" t="s">
        <v>1001</v>
      </c>
      <c r="E847" s="5" t="s">
        <v>928</v>
      </c>
      <c r="F847" s="10" t="n">
        <f aca="false">SUMIFS(Salidas_REM!$I:$I,Salidas_REM!$D:$D,A847,Salidas_REM!$F:$F,C847,Salidas_REM!$B:$B,$B$1,Salidas_REM!$C:$C,"Realizada")</f>
        <v>0</v>
      </c>
    </row>
    <row r="848" customFormat="false" ht="15" hidden="false" customHeight="false" outlineLevel="0" collapsed="false">
      <c r="A848" s="5" t="s">
        <v>100</v>
      </c>
      <c r="B848" s="5" t="s">
        <v>101</v>
      </c>
      <c r="C848" s="5" t="s">
        <v>825</v>
      </c>
      <c r="D848" s="5" t="s">
        <v>1001</v>
      </c>
      <c r="E848" s="5" t="s">
        <v>930</v>
      </c>
      <c r="F848" s="10" t="n">
        <f aca="false">SUMIFS(Salidas_REM!$I:$I,Salidas_REM!$D:$D,A848,Salidas_REM!$F:$F,C848,Salidas_REM!$B:$B,$B$1,Salidas_REM!$C:$C,"Realizada")</f>
        <v>0</v>
      </c>
    </row>
    <row r="849" customFormat="false" ht="15" hidden="false" customHeight="false" outlineLevel="0" collapsed="false">
      <c r="A849" s="5" t="s">
        <v>100</v>
      </c>
      <c r="B849" s="5" t="s">
        <v>101</v>
      </c>
      <c r="C849" s="5" t="s">
        <v>832</v>
      </c>
      <c r="D849" s="5" t="s">
        <v>1002</v>
      </c>
      <c r="E849" s="5" t="s">
        <v>104</v>
      </c>
      <c r="F849" s="10" t="n">
        <f aca="false">SUMIFS(Salidas_REM!$I:$I,Salidas_REM!$D:$D,A849,Salidas_REM!$F:$F,C849,Salidas_REM!$B:$B,$B$1,Salidas_REM!$C:$C,"Realizada")</f>
        <v>0</v>
      </c>
    </row>
    <row r="850" customFormat="false" ht="15" hidden="false" customHeight="false" outlineLevel="0" collapsed="false">
      <c r="A850" s="5" t="s">
        <v>100</v>
      </c>
      <c r="B850" s="5" t="s">
        <v>101</v>
      </c>
      <c r="C850" s="5" t="s">
        <v>833</v>
      </c>
      <c r="D850" s="5" t="s">
        <v>1002</v>
      </c>
      <c r="E850" s="5" t="s">
        <v>924</v>
      </c>
      <c r="F850" s="10" t="n">
        <f aca="false">SUMIFS(Salidas_REM!$I:$I,Salidas_REM!$D:$D,A850,Salidas_REM!$F:$F,C850,Salidas_REM!$B:$B,$B$1,Salidas_REM!$C:$C,"Realizada")</f>
        <v>0</v>
      </c>
    </row>
    <row r="851" customFormat="false" ht="15" hidden="false" customHeight="false" outlineLevel="0" collapsed="false">
      <c r="A851" s="5" t="s">
        <v>100</v>
      </c>
      <c r="B851" s="5" t="s">
        <v>101</v>
      </c>
      <c r="C851" s="5" t="s">
        <v>834</v>
      </c>
      <c r="D851" s="5" t="s">
        <v>1002</v>
      </c>
      <c r="E851" s="5" t="s">
        <v>926</v>
      </c>
      <c r="F851" s="10" t="n">
        <f aca="false">SUMIFS(Salidas_REM!$I:$I,Salidas_REM!$D:$D,A851,Salidas_REM!$F:$F,C851,Salidas_REM!$B:$B,$B$1,Salidas_REM!$C:$C,"Realizada")</f>
        <v>0</v>
      </c>
    </row>
    <row r="852" customFormat="false" ht="15" hidden="false" customHeight="false" outlineLevel="0" collapsed="false">
      <c r="A852" s="5" t="s">
        <v>100</v>
      </c>
      <c r="B852" s="5" t="s">
        <v>101</v>
      </c>
      <c r="C852" s="5" t="s">
        <v>835</v>
      </c>
      <c r="D852" s="5" t="s">
        <v>1002</v>
      </c>
      <c r="E852" s="5" t="s">
        <v>928</v>
      </c>
      <c r="F852" s="10" t="n">
        <f aca="false">SUMIFS(Salidas_REM!$I:$I,Salidas_REM!$D:$D,A852,Salidas_REM!$F:$F,C852,Salidas_REM!$B:$B,$B$1,Salidas_REM!$C:$C,"Realizada")</f>
        <v>0</v>
      </c>
    </row>
    <row r="853" customFormat="false" ht="15" hidden="false" customHeight="false" outlineLevel="0" collapsed="false">
      <c r="A853" s="5" t="s">
        <v>100</v>
      </c>
      <c r="B853" s="5" t="s">
        <v>101</v>
      </c>
      <c r="C853" s="5" t="s">
        <v>836</v>
      </c>
      <c r="D853" s="5" t="s">
        <v>1002</v>
      </c>
      <c r="E853" s="5" t="s">
        <v>930</v>
      </c>
      <c r="F853" s="10" t="n">
        <f aca="false">SUMIFS(Salidas_REM!$I:$I,Salidas_REM!$D:$D,A853,Salidas_REM!$F:$F,C853,Salidas_REM!$B:$B,$B$1,Salidas_REM!$C:$C,"Realizada")</f>
        <v>0</v>
      </c>
    </row>
    <row r="854" customFormat="false" ht="15" hidden="false" customHeight="false" outlineLevel="0" collapsed="false">
      <c r="A854" s="5" t="s">
        <v>100</v>
      </c>
      <c r="B854" s="5" t="s">
        <v>101</v>
      </c>
      <c r="C854" s="5" t="s">
        <v>102</v>
      </c>
      <c r="D854" s="5" t="s">
        <v>103</v>
      </c>
      <c r="E854" s="5" t="s">
        <v>104</v>
      </c>
      <c r="F854" s="10" t="n">
        <f aca="false">SUMIFS(Salidas_REM!$I:$I,Salidas_REM!$D:$D,A854,Salidas_REM!$F:$F,C854,Salidas_REM!$B:$B,$B$1,Salidas_REM!$C:$C,"Realizada")</f>
        <v>1</v>
      </c>
    </row>
    <row r="855" customFormat="false" ht="15" hidden="false" customHeight="false" outlineLevel="0" collapsed="false">
      <c r="A855" s="5" t="s">
        <v>100</v>
      </c>
      <c r="B855" s="5" t="s">
        <v>101</v>
      </c>
      <c r="C855" s="5" t="s">
        <v>843</v>
      </c>
      <c r="D855" s="5" t="s">
        <v>103</v>
      </c>
      <c r="E855" s="5" t="s">
        <v>924</v>
      </c>
      <c r="F855" s="10" t="n">
        <f aca="false">SUMIFS(Salidas_REM!$I:$I,Salidas_REM!$D:$D,A855,Salidas_REM!$F:$F,C855,Salidas_REM!$B:$B,$B$1,Salidas_REM!$C:$C,"Realizada")</f>
        <v>0</v>
      </c>
    </row>
    <row r="856" customFormat="false" ht="15" hidden="false" customHeight="false" outlineLevel="0" collapsed="false">
      <c r="A856" s="5" t="s">
        <v>100</v>
      </c>
      <c r="B856" s="5" t="s">
        <v>101</v>
      </c>
      <c r="C856" s="5" t="s">
        <v>844</v>
      </c>
      <c r="D856" s="5" t="s">
        <v>103</v>
      </c>
      <c r="E856" s="5" t="s">
        <v>926</v>
      </c>
      <c r="F856" s="10" t="n">
        <f aca="false">SUMIFS(Salidas_REM!$I:$I,Salidas_REM!$D:$D,A856,Salidas_REM!$F:$F,C856,Salidas_REM!$B:$B,$B$1,Salidas_REM!$C:$C,"Realizada")</f>
        <v>0</v>
      </c>
    </row>
    <row r="857" customFormat="false" ht="15" hidden="false" customHeight="false" outlineLevel="0" collapsed="false">
      <c r="A857" s="5" t="s">
        <v>100</v>
      </c>
      <c r="B857" s="5" t="s">
        <v>101</v>
      </c>
      <c r="C857" s="5" t="s">
        <v>845</v>
      </c>
      <c r="D857" s="5" t="s">
        <v>103</v>
      </c>
      <c r="E857" s="5" t="s">
        <v>928</v>
      </c>
      <c r="F857" s="10" t="n">
        <f aca="false">SUMIFS(Salidas_REM!$I:$I,Salidas_REM!$D:$D,A857,Salidas_REM!$F:$F,C857,Salidas_REM!$B:$B,$B$1,Salidas_REM!$C:$C,"Realizada")</f>
        <v>0</v>
      </c>
    </row>
    <row r="858" customFormat="false" ht="15" hidden="false" customHeight="false" outlineLevel="0" collapsed="false">
      <c r="A858" s="5" t="s">
        <v>100</v>
      </c>
      <c r="B858" s="5" t="s">
        <v>101</v>
      </c>
      <c r="C858" s="5" t="s">
        <v>846</v>
      </c>
      <c r="D858" s="5" t="s">
        <v>103</v>
      </c>
      <c r="E858" s="5" t="s">
        <v>930</v>
      </c>
      <c r="F858" s="10" t="n">
        <f aca="false">SUMIFS(Salidas_REM!$I:$I,Salidas_REM!$D:$D,A858,Salidas_REM!$F:$F,C858,Salidas_REM!$B:$B,$B$1,Salidas_REM!$C:$C,"Realizada")</f>
        <v>0</v>
      </c>
    </row>
    <row r="859" customFormat="false" ht="15" hidden="false" customHeight="false" outlineLevel="0" collapsed="false">
      <c r="A859" s="5" t="s">
        <v>100</v>
      </c>
      <c r="B859" s="5" t="s">
        <v>101</v>
      </c>
      <c r="C859" s="5" t="s">
        <v>853</v>
      </c>
      <c r="D859" s="5" t="s">
        <v>1003</v>
      </c>
      <c r="E859" s="5" t="s">
        <v>104</v>
      </c>
      <c r="F859" s="10" t="n">
        <f aca="false">SUMIFS(Salidas_REM!$I:$I,Salidas_REM!$D:$D,A859,Salidas_REM!$F:$F,C859,Salidas_REM!$B:$B,$B$1,Salidas_REM!$C:$C,"Realizada")</f>
        <v>0</v>
      </c>
    </row>
    <row r="860" customFormat="false" ht="15" hidden="false" customHeight="false" outlineLevel="0" collapsed="false">
      <c r="A860" s="5" t="s">
        <v>100</v>
      </c>
      <c r="B860" s="5" t="s">
        <v>101</v>
      </c>
      <c r="C860" s="5" t="s">
        <v>854</v>
      </c>
      <c r="D860" s="5" t="s">
        <v>1003</v>
      </c>
      <c r="E860" s="5" t="s">
        <v>924</v>
      </c>
      <c r="F860" s="10" t="n">
        <f aca="false">SUMIFS(Salidas_REM!$I:$I,Salidas_REM!$D:$D,A860,Salidas_REM!$F:$F,C860,Salidas_REM!$B:$B,$B$1,Salidas_REM!$C:$C,"Realizada")</f>
        <v>0</v>
      </c>
    </row>
    <row r="861" customFormat="false" ht="15" hidden="false" customHeight="false" outlineLevel="0" collapsed="false">
      <c r="A861" s="5" t="s">
        <v>100</v>
      </c>
      <c r="B861" s="5" t="s">
        <v>101</v>
      </c>
      <c r="C861" s="5" t="s">
        <v>855</v>
      </c>
      <c r="D861" s="5" t="s">
        <v>1003</v>
      </c>
      <c r="E861" s="5" t="s">
        <v>926</v>
      </c>
      <c r="F861" s="10" t="n">
        <f aca="false">SUMIFS(Salidas_REM!$I:$I,Salidas_REM!$D:$D,A861,Salidas_REM!$F:$F,C861,Salidas_REM!$B:$B,$B$1,Salidas_REM!$C:$C,"Realizada")</f>
        <v>0</v>
      </c>
    </row>
    <row r="862" customFormat="false" ht="15" hidden="false" customHeight="false" outlineLevel="0" collapsed="false">
      <c r="A862" s="5" t="s">
        <v>100</v>
      </c>
      <c r="B862" s="5" t="s">
        <v>101</v>
      </c>
      <c r="C862" s="5" t="s">
        <v>856</v>
      </c>
      <c r="D862" s="5" t="s">
        <v>1003</v>
      </c>
      <c r="E862" s="5" t="s">
        <v>928</v>
      </c>
      <c r="F862" s="10" t="n">
        <f aca="false">SUMIFS(Salidas_REM!$I:$I,Salidas_REM!$D:$D,A862,Salidas_REM!$F:$F,C862,Salidas_REM!$B:$B,$B$1,Salidas_REM!$C:$C,"Realizada")</f>
        <v>0</v>
      </c>
    </row>
    <row r="863" customFormat="false" ht="15" hidden="false" customHeight="false" outlineLevel="0" collapsed="false">
      <c r="A863" s="5" t="s">
        <v>100</v>
      </c>
      <c r="B863" s="5" t="s">
        <v>101</v>
      </c>
      <c r="C863" s="5" t="s">
        <v>857</v>
      </c>
      <c r="D863" s="5" t="s">
        <v>1003</v>
      </c>
      <c r="E863" s="5" t="s">
        <v>930</v>
      </c>
      <c r="F863" s="10" t="n">
        <f aca="false">SUMIFS(Salidas_REM!$I:$I,Salidas_REM!$D:$D,A863,Salidas_REM!$F:$F,C863,Salidas_REM!$B:$B,$B$1,Salidas_REM!$C:$C,"Realizada")</f>
        <v>0</v>
      </c>
    </row>
    <row r="864" customFormat="false" ht="15" hidden="false" customHeight="false" outlineLevel="0" collapsed="false">
      <c r="A864" s="5" t="s">
        <v>100</v>
      </c>
      <c r="B864" s="5" t="s">
        <v>101</v>
      </c>
      <c r="C864" s="5" t="s">
        <v>864</v>
      </c>
      <c r="D864" s="5" t="s">
        <v>1004</v>
      </c>
      <c r="E864" s="5" t="s">
        <v>104</v>
      </c>
      <c r="F864" s="10" t="n">
        <f aca="false">SUMIFS(Salidas_REM!$I:$I,Salidas_REM!$D:$D,A864,Salidas_REM!$F:$F,C864,Salidas_REM!$B:$B,$B$1,Salidas_REM!$C:$C,"Realizada")</f>
        <v>0</v>
      </c>
    </row>
    <row r="865" customFormat="false" ht="15" hidden="false" customHeight="false" outlineLevel="0" collapsed="false">
      <c r="A865" s="5" t="s">
        <v>100</v>
      </c>
      <c r="B865" s="5" t="s">
        <v>101</v>
      </c>
      <c r="C865" s="5" t="s">
        <v>865</v>
      </c>
      <c r="D865" s="5" t="s">
        <v>1004</v>
      </c>
      <c r="E865" s="5" t="s">
        <v>924</v>
      </c>
      <c r="F865" s="10" t="n">
        <f aca="false">SUMIFS(Salidas_REM!$I:$I,Salidas_REM!$D:$D,A865,Salidas_REM!$F:$F,C865,Salidas_REM!$B:$B,$B$1,Salidas_REM!$C:$C,"Realizada")</f>
        <v>0</v>
      </c>
    </row>
    <row r="866" customFormat="false" ht="15" hidden="false" customHeight="false" outlineLevel="0" collapsed="false">
      <c r="A866" s="5" t="s">
        <v>100</v>
      </c>
      <c r="B866" s="5" t="s">
        <v>101</v>
      </c>
      <c r="C866" s="5" t="s">
        <v>866</v>
      </c>
      <c r="D866" s="5" t="s">
        <v>1004</v>
      </c>
      <c r="E866" s="5" t="s">
        <v>926</v>
      </c>
      <c r="F866" s="10" t="n">
        <f aca="false">SUMIFS(Salidas_REM!$I:$I,Salidas_REM!$D:$D,A866,Salidas_REM!$F:$F,C866,Salidas_REM!$B:$B,$B$1,Salidas_REM!$C:$C,"Realizada")</f>
        <v>0</v>
      </c>
    </row>
    <row r="867" customFormat="false" ht="15" hidden="false" customHeight="false" outlineLevel="0" collapsed="false">
      <c r="A867" s="5" t="s">
        <v>100</v>
      </c>
      <c r="B867" s="5" t="s">
        <v>101</v>
      </c>
      <c r="C867" s="5" t="s">
        <v>867</v>
      </c>
      <c r="D867" s="5" t="s">
        <v>1004</v>
      </c>
      <c r="E867" s="5" t="s">
        <v>928</v>
      </c>
      <c r="F867" s="10" t="n">
        <f aca="false">SUMIFS(Salidas_REM!$I:$I,Salidas_REM!$D:$D,A867,Salidas_REM!$F:$F,C867,Salidas_REM!$B:$B,$B$1,Salidas_REM!$C:$C,"Realizada")</f>
        <v>0</v>
      </c>
    </row>
    <row r="868" customFormat="false" ht="15" hidden="false" customHeight="false" outlineLevel="0" collapsed="false">
      <c r="A868" s="5" t="s">
        <v>100</v>
      </c>
      <c r="B868" s="5" t="s">
        <v>101</v>
      </c>
      <c r="C868" s="5" t="s">
        <v>868</v>
      </c>
      <c r="D868" s="5" t="s">
        <v>1004</v>
      </c>
      <c r="E868" s="5" t="s">
        <v>930</v>
      </c>
      <c r="F868" s="10" t="n">
        <f aca="false">SUMIFS(Salidas_REM!$I:$I,Salidas_REM!$D:$D,A868,Salidas_REM!$F:$F,C868,Salidas_REM!$B:$B,$B$1,Salidas_REM!$C:$C,"Realizada")</f>
        <v>0</v>
      </c>
    </row>
    <row r="869" customFormat="false" ht="15" hidden="false" customHeight="false" outlineLevel="0" collapsed="false">
      <c r="A869" s="5" t="s">
        <v>100</v>
      </c>
      <c r="B869" s="5" t="s">
        <v>101</v>
      </c>
      <c r="C869" s="5" t="s">
        <v>875</v>
      </c>
      <c r="D869" s="5" t="s">
        <v>1005</v>
      </c>
      <c r="E869" s="5" t="s">
        <v>104</v>
      </c>
      <c r="F869" s="10" t="n">
        <f aca="false">SUMIFS(Salidas_REM!$I:$I,Salidas_REM!$D:$D,A869,Salidas_REM!$F:$F,C869,Salidas_REM!$B:$B,$B$1,Salidas_REM!$C:$C,"Realizada")</f>
        <v>0</v>
      </c>
    </row>
    <row r="870" customFormat="false" ht="15" hidden="false" customHeight="false" outlineLevel="0" collapsed="false">
      <c r="A870" s="5" t="s">
        <v>100</v>
      </c>
      <c r="B870" s="5" t="s">
        <v>101</v>
      </c>
      <c r="C870" s="5" t="s">
        <v>876</v>
      </c>
      <c r="D870" s="5" t="s">
        <v>1005</v>
      </c>
      <c r="E870" s="5" t="s">
        <v>924</v>
      </c>
      <c r="F870" s="10" t="n">
        <f aca="false">SUMIFS(Salidas_REM!$I:$I,Salidas_REM!$D:$D,A870,Salidas_REM!$F:$F,C870,Salidas_REM!$B:$B,$B$1,Salidas_REM!$C:$C,"Realizada")</f>
        <v>0</v>
      </c>
    </row>
    <row r="871" customFormat="false" ht="15" hidden="false" customHeight="false" outlineLevel="0" collapsed="false">
      <c r="A871" s="5" t="s">
        <v>100</v>
      </c>
      <c r="B871" s="5" t="s">
        <v>101</v>
      </c>
      <c r="C871" s="5" t="s">
        <v>877</v>
      </c>
      <c r="D871" s="5" t="s">
        <v>1005</v>
      </c>
      <c r="E871" s="5" t="s">
        <v>926</v>
      </c>
      <c r="F871" s="10" t="n">
        <f aca="false">SUMIFS(Salidas_REM!$I:$I,Salidas_REM!$D:$D,A871,Salidas_REM!$F:$F,C871,Salidas_REM!$B:$B,$B$1,Salidas_REM!$C:$C,"Realizada")</f>
        <v>0</v>
      </c>
    </row>
    <row r="872" customFormat="false" ht="15" hidden="false" customHeight="false" outlineLevel="0" collapsed="false">
      <c r="A872" s="5" t="s">
        <v>100</v>
      </c>
      <c r="B872" s="5" t="s">
        <v>101</v>
      </c>
      <c r="C872" s="5" t="s">
        <v>878</v>
      </c>
      <c r="D872" s="5" t="s">
        <v>1005</v>
      </c>
      <c r="E872" s="5" t="s">
        <v>928</v>
      </c>
      <c r="F872" s="10" t="n">
        <f aca="false">SUMIFS(Salidas_REM!$I:$I,Salidas_REM!$D:$D,A872,Salidas_REM!$F:$F,C872,Salidas_REM!$B:$B,$B$1,Salidas_REM!$C:$C,"Realizada")</f>
        <v>0</v>
      </c>
    </row>
    <row r="873" customFormat="false" ht="15" hidden="false" customHeight="false" outlineLevel="0" collapsed="false">
      <c r="A873" s="5" t="s">
        <v>100</v>
      </c>
      <c r="B873" s="5" t="s">
        <v>101</v>
      </c>
      <c r="C873" s="5" t="s">
        <v>879</v>
      </c>
      <c r="D873" s="5" t="s">
        <v>1005</v>
      </c>
      <c r="E873" s="5" t="s">
        <v>930</v>
      </c>
      <c r="F873" s="10" t="n">
        <f aca="false">SUMIFS(Salidas_REM!$I:$I,Salidas_REM!$D:$D,A873,Salidas_REM!$F:$F,C873,Salidas_REM!$B:$B,$B$1,Salidas_REM!$C:$C,"Realizada")</f>
        <v>0</v>
      </c>
    </row>
    <row r="874" customFormat="false" ht="15" hidden="false" customHeight="false" outlineLevel="0" collapsed="false">
      <c r="A874" s="5" t="s">
        <v>100</v>
      </c>
      <c r="B874" s="5" t="s">
        <v>101</v>
      </c>
      <c r="C874" s="5" t="s">
        <v>886</v>
      </c>
      <c r="D874" s="5" t="s">
        <v>1006</v>
      </c>
      <c r="E874" s="5" t="s">
        <v>104</v>
      </c>
      <c r="F874" s="10" t="n">
        <f aca="false">SUMIFS(Salidas_REM!$I:$I,Salidas_REM!$D:$D,A874,Salidas_REM!$F:$F,C874,Salidas_REM!$B:$B,$B$1,Salidas_REM!$C:$C,"Realizada")</f>
        <v>0</v>
      </c>
    </row>
    <row r="875" customFormat="false" ht="15" hidden="false" customHeight="false" outlineLevel="0" collapsed="false">
      <c r="A875" s="5" t="s">
        <v>100</v>
      </c>
      <c r="B875" s="5" t="s">
        <v>101</v>
      </c>
      <c r="C875" s="5" t="s">
        <v>887</v>
      </c>
      <c r="D875" s="5" t="s">
        <v>1006</v>
      </c>
      <c r="E875" s="5" t="s">
        <v>924</v>
      </c>
      <c r="F875" s="10" t="n">
        <f aca="false">SUMIFS(Salidas_REM!$I:$I,Salidas_REM!$D:$D,A875,Salidas_REM!$F:$F,C875,Salidas_REM!$B:$B,$B$1,Salidas_REM!$C:$C,"Realizada")</f>
        <v>0</v>
      </c>
    </row>
    <row r="876" customFormat="false" ht="15" hidden="false" customHeight="false" outlineLevel="0" collapsed="false">
      <c r="A876" s="5" t="s">
        <v>100</v>
      </c>
      <c r="B876" s="5" t="s">
        <v>101</v>
      </c>
      <c r="C876" s="5" t="s">
        <v>888</v>
      </c>
      <c r="D876" s="5" t="s">
        <v>1006</v>
      </c>
      <c r="E876" s="5" t="s">
        <v>926</v>
      </c>
      <c r="F876" s="10" t="n">
        <f aca="false">SUMIFS(Salidas_REM!$I:$I,Salidas_REM!$D:$D,A876,Salidas_REM!$F:$F,C876,Salidas_REM!$B:$B,$B$1,Salidas_REM!$C:$C,"Realizada")</f>
        <v>0</v>
      </c>
    </row>
    <row r="877" customFormat="false" ht="15" hidden="false" customHeight="false" outlineLevel="0" collapsed="false">
      <c r="A877" s="5" t="s">
        <v>100</v>
      </c>
      <c r="B877" s="5" t="s">
        <v>101</v>
      </c>
      <c r="C877" s="5" t="s">
        <v>889</v>
      </c>
      <c r="D877" s="5" t="s">
        <v>1006</v>
      </c>
      <c r="E877" s="5" t="s">
        <v>928</v>
      </c>
      <c r="F877" s="10" t="n">
        <f aca="false">SUMIFS(Salidas_REM!$I:$I,Salidas_REM!$D:$D,A877,Salidas_REM!$F:$F,C877,Salidas_REM!$B:$B,$B$1,Salidas_REM!$C:$C,"Realizada")</f>
        <v>0</v>
      </c>
    </row>
    <row r="878" customFormat="false" ht="15" hidden="false" customHeight="false" outlineLevel="0" collapsed="false">
      <c r="A878" s="5" t="s">
        <v>100</v>
      </c>
      <c r="B878" s="5" t="s">
        <v>101</v>
      </c>
      <c r="C878" s="5" t="s">
        <v>890</v>
      </c>
      <c r="D878" s="5" t="s">
        <v>1006</v>
      </c>
      <c r="E878" s="5" t="s">
        <v>930</v>
      </c>
      <c r="F878" s="10" t="n">
        <f aca="false">SUMIFS(Salidas_REM!$I:$I,Salidas_REM!$D:$D,A878,Salidas_REM!$F:$F,C878,Salidas_REM!$B:$B,$B$1,Salidas_REM!$C:$C,"Realizada")</f>
        <v>0</v>
      </c>
    </row>
    <row r="879" customFormat="false" ht="15" hidden="false" customHeight="false" outlineLevel="0" collapsed="false">
      <c r="A879" s="5" t="s">
        <v>100</v>
      </c>
      <c r="B879" s="5" t="s">
        <v>101</v>
      </c>
      <c r="C879" s="5" t="s">
        <v>897</v>
      </c>
      <c r="D879" s="5" t="s">
        <v>1007</v>
      </c>
      <c r="E879" s="5" t="s">
        <v>104</v>
      </c>
      <c r="F879" s="10" t="n">
        <f aca="false">SUMIFS(Salidas_REM!$I:$I,Salidas_REM!$D:$D,A879,Salidas_REM!$F:$F,C879,Salidas_REM!$B:$B,$B$1,Salidas_REM!$C:$C,"Realizada")</f>
        <v>0</v>
      </c>
    </row>
    <row r="880" customFormat="false" ht="15" hidden="false" customHeight="false" outlineLevel="0" collapsed="false">
      <c r="A880" s="5" t="s">
        <v>100</v>
      </c>
      <c r="B880" s="5" t="s">
        <v>101</v>
      </c>
      <c r="C880" s="5" t="s">
        <v>898</v>
      </c>
      <c r="D880" s="5" t="s">
        <v>1007</v>
      </c>
      <c r="E880" s="5" t="s">
        <v>924</v>
      </c>
      <c r="F880" s="10" t="n">
        <f aca="false">SUMIFS(Salidas_REM!$I:$I,Salidas_REM!$D:$D,A880,Salidas_REM!$F:$F,C880,Salidas_REM!$B:$B,$B$1,Salidas_REM!$C:$C,"Realizada")</f>
        <v>0</v>
      </c>
    </row>
    <row r="881" customFormat="false" ht="15" hidden="false" customHeight="false" outlineLevel="0" collapsed="false">
      <c r="A881" s="5" t="s">
        <v>100</v>
      </c>
      <c r="B881" s="5" t="s">
        <v>101</v>
      </c>
      <c r="C881" s="5" t="s">
        <v>899</v>
      </c>
      <c r="D881" s="5" t="s">
        <v>1007</v>
      </c>
      <c r="E881" s="5" t="s">
        <v>926</v>
      </c>
      <c r="F881" s="10" t="n">
        <f aca="false">SUMIFS(Salidas_REM!$I:$I,Salidas_REM!$D:$D,A881,Salidas_REM!$F:$F,C881,Salidas_REM!$B:$B,$B$1,Salidas_REM!$C:$C,"Realizada")</f>
        <v>0</v>
      </c>
    </row>
    <row r="882" customFormat="false" ht="15" hidden="false" customHeight="false" outlineLevel="0" collapsed="false">
      <c r="A882" s="5" t="s">
        <v>100</v>
      </c>
      <c r="B882" s="5" t="s">
        <v>101</v>
      </c>
      <c r="C882" s="5" t="s">
        <v>900</v>
      </c>
      <c r="D882" s="5" t="s">
        <v>1007</v>
      </c>
      <c r="E882" s="5" t="s">
        <v>928</v>
      </c>
      <c r="F882" s="10" t="n">
        <f aca="false">SUMIFS(Salidas_REM!$I:$I,Salidas_REM!$D:$D,A882,Salidas_REM!$F:$F,C882,Salidas_REM!$B:$B,$B$1,Salidas_REM!$C:$C,"Realizada")</f>
        <v>0</v>
      </c>
    </row>
    <row r="883" customFormat="false" ht="15" hidden="false" customHeight="false" outlineLevel="0" collapsed="false">
      <c r="A883" s="5" t="s">
        <v>100</v>
      </c>
      <c r="B883" s="5" t="s">
        <v>101</v>
      </c>
      <c r="C883" s="5" t="s">
        <v>901</v>
      </c>
      <c r="D883" s="5" t="s">
        <v>1007</v>
      </c>
      <c r="E883" s="5" t="s">
        <v>930</v>
      </c>
      <c r="F883" s="10" t="n">
        <f aca="false">SUMIFS(Salidas_REM!$I:$I,Salidas_REM!$D:$D,A883,Salidas_REM!$F:$F,C883,Salidas_REM!$B:$B,$B$1,Salidas_REM!$C:$C,"Realizada")</f>
        <v>0</v>
      </c>
    </row>
    <row r="884" customFormat="false" ht="15" hidden="false" customHeight="false" outlineLevel="0" collapsed="false">
      <c r="A884" s="5" t="s">
        <v>100</v>
      </c>
      <c r="B884" s="5" t="s">
        <v>101</v>
      </c>
      <c r="C884" s="5" t="s">
        <v>132</v>
      </c>
      <c r="D884" s="5" t="s">
        <v>1008</v>
      </c>
      <c r="E884" s="5" t="s">
        <v>104</v>
      </c>
      <c r="F884" s="10" t="n">
        <f aca="false">SUMIFS(Salidas_REM!$I:$I,Salidas_REM!$D:$D,A884,Salidas_REM!$F:$F,C884,Salidas_REM!$B:$B,$B$1,Salidas_REM!$C:$C,"Realizada")</f>
        <v>0</v>
      </c>
    </row>
    <row r="885" customFormat="false" ht="15" hidden="false" customHeight="false" outlineLevel="0" collapsed="false">
      <c r="A885" s="5" t="s">
        <v>100</v>
      </c>
      <c r="B885" s="5" t="s">
        <v>101</v>
      </c>
      <c r="C885" s="5" t="s">
        <v>905</v>
      </c>
      <c r="D885" s="5" t="s">
        <v>1008</v>
      </c>
      <c r="E885" s="5" t="s">
        <v>924</v>
      </c>
      <c r="F885" s="10" t="n">
        <f aca="false">SUMIFS(Salidas_REM!$I:$I,Salidas_REM!$D:$D,A885,Salidas_REM!$F:$F,C885,Salidas_REM!$B:$B,$B$1,Salidas_REM!$C:$C,"Realizada")</f>
        <v>0</v>
      </c>
    </row>
    <row r="886" customFormat="false" ht="15" hidden="false" customHeight="false" outlineLevel="0" collapsed="false">
      <c r="A886" s="5" t="s">
        <v>100</v>
      </c>
      <c r="B886" s="5" t="s">
        <v>101</v>
      </c>
      <c r="C886" s="5" t="s">
        <v>906</v>
      </c>
      <c r="D886" s="5" t="s">
        <v>1008</v>
      </c>
      <c r="E886" s="5" t="s">
        <v>926</v>
      </c>
      <c r="F886" s="10" t="n">
        <f aca="false">SUMIFS(Salidas_REM!$I:$I,Salidas_REM!$D:$D,A886,Salidas_REM!$F:$F,C886,Salidas_REM!$B:$B,$B$1,Salidas_REM!$C:$C,"Realizada")</f>
        <v>0</v>
      </c>
    </row>
    <row r="887" customFormat="false" ht="15" hidden="false" customHeight="false" outlineLevel="0" collapsed="false">
      <c r="A887" s="5" t="s">
        <v>100</v>
      </c>
      <c r="B887" s="5" t="s">
        <v>101</v>
      </c>
      <c r="C887" s="5" t="s">
        <v>907</v>
      </c>
      <c r="D887" s="5" t="s">
        <v>1008</v>
      </c>
      <c r="E887" s="5" t="s">
        <v>928</v>
      </c>
      <c r="F887" s="10" t="n">
        <f aca="false">SUMIFS(Salidas_REM!$I:$I,Salidas_REM!$D:$D,A887,Salidas_REM!$F:$F,C887,Salidas_REM!$B:$B,$B$1,Salidas_REM!$C:$C,"Realizada")</f>
        <v>0</v>
      </c>
    </row>
    <row r="888" customFormat="false" ht="15" hidden="false" customHeight="false" outlineLevel="0" collapsed="false">
      <c r="A888" s="5" t="s">
        <v>100</v>
      </c>
      <c r="B888" s="5" t="s">
        <v>101</v>
      </c>
      <c r="C888" s="5" t="s">
        <v>908</v>
      </c>
      <c r="D888" s="5" t="s">
        <v>1008</v>
      </c>
      <c r="E888" s="5" t="s">
        <v>930</v>
      </c>
      <c r="F888" s="10" t="n">
        <f aca="false">SUMIFS(Salidas_REM!$I:$I,Salidas_REM!$D:$D,A888,Salidas_REM!$F:$F,C888,Salidas_REM!$B:$B,$B$1,Salidas_REM!$C:$C,"Realizada")</f>
        <v>0</v>
      </c>
    </row>
    <row r="889" customFormat="false" ht="15" hidden="false" customHeight="false" outlineLevel="0" collapsed="false">
      <c r="A889" s="5" t="s">
        <v>100</v>
      </c>
      <c r="B889" s="5" t="s">
        <v>101</v>
      </c>
      <c r="C889" s="5" t="s">
        <v>913</v>
      </c>
      <c r="D889" s="5" t="s">
        <v>1009</v>
      </c>
      <c r="E889" s="5" t="s">
        <v>104</v>
      </c>
      <c r="F889" s="10" t="n">
        <f aca="false">SUMIFS(Salidas_REM!$I:$I,Salidas_REM!$D:$D,A889,Salidas_REM!$F:$F,C889,Salidas_REM!$B:$B,$B$1,Salidas_REM!$C:$C,"Realizada")</f>
        <v>0</v>
      </c>
    </row>
    <row r="890" customFormat="false" ht="15" hidden="false" customHeight="false" outlineLevel="0" collapsed="false">
      <c r="A890" s="5" t="s">
        <v>100</v>
      </c>
      <c r="B890" s="5" t="s">
        <v>101</v>
      </c>
      <c r="C890" s="5" t="s">
        <v>914</v>
      </c>
      <c r="D890" s="5" t="s">
        <v>1009</v>
      </c>
      <c r="E890" s="5" t="s">
        <v>924</v>
      </c>
      <c r="F890" s="10" t="n">
        <f aca="false">SUMIFS(Salidas_REM!$I:$I,Salidas_REM!$D:$D,A890,Salidas_REM!$F:$F,C890,Salidas_REM!$B:$B,$B$1,Salidas_REM!$C:$C,"Realizada")</f>
        <v>0</v>
      </c>
    </row>
    <row r="891" customFormat="false" ht="15" hidden="false" customHeight="false" outlineLevel="0" collapsed="false">
      <c r="A891" s="5" t="s">
        <v>100</v>
      </c>
      <c r="B891" s="5" t="s">
        <v>101</v>
      </c>
      <c r="C891" s="5" t="s">
        <v>915</v>
      </c>
      <c r="D891" s="5" t="s">
        <v>1009</v>
      </c>
      <c r="E891" s="5" t="s">
        <v>926</v>
      </c>
      <c r="F891" s="10" t="n">
        <f aca="false">SUMIFS(Salidas_REM!$I:$I,Salidas_REM!$D:$D,A891,Salidas_REM!$F:$F,C891,Salidas_REM!$B:$B,$B$1,Salidas_REM!$C:$C,"Realizada")</f>
        <v>0</v>
      </c>
    </row>
    <row r="892" customFormat="false" ht="15" hidden="false" customHeight="false" outlineLevel="0" collapsed="false">
      <c r="A892" s="5" t="s">
        <v>100</v>
      </c>
      <c r="B892" s="5" t="s">
        <v>101</v>
      </c>
      <c r="C892" s="5" t="s">
        <v>916</v>
      </c>
      <c r="D892" s="5" t="s">
        <v>1009</v>
      </c>
      <c r="E892" s="5" t="s">
        <v>928</v>
      </c>
      <c r="F892" s="10" t="n">
        <f aca="false">SUMIFS(Salidas_REM!$I:$I,Salidas_REM!$D:$D,A892,Salidas_REM!$F:$F,C892,Salidas_REM!$B:$B,$B$1,Salidas_REM!$C:$C,"Realizada")</f>
        <v>0</v>
      </c>
    </row>
    <row r="893" customFormat="false" ht="15" hidden="false" customHeight="false" outlineLevel="0" collapsed="false">
      <c r="A893" s="5" t="s">
        <v>100</v>
      </c>
      <c r="B893" s="5" t="s">
        <v>101</v>
      </c>
      <c r="C893" s="5" t="s">
        <v>917</v>
      </c>
      <c r="D893" s="5" t="s">
        <v>1009</v>
      </c>
      <c r="E893" s="5" t="s">
        <v>930</v>
      </c>
      <c r="F893" s="10" t="n">
        <f aca="false">SUMIFS(Salidas_REM!$I:$I,Salidas_REM!$D:$D,A893,Salidas_REM!$F:$F,C893,Salidas_REM!$B:$B,$B$1,Salidas_REM!$C:$C,"Realizada")</f>
        <v>0</v>
      </c>
    </row>
    <row r="894" customFormat="false" ht="15" hidden="false" customHeight="false" outlineLevel="0" collapsed="false">
      <c r="A894" s="5" t="s">
        <v>100</v>
      </c>
      <c r="B894" s="5" t="s">
        <v>101</v>
      </c>
      <c r="C894" s="5" t="s">
        <v>1010</v>
      </c>
      <c r="D894" s="5" t="s">
        <v>1011</v>
      </c>
      <c r="E894" s="5" t="s">
        <v>104</v>
      </c>
      <c r="F894" s="10" t="n">
        <f aca="false">SUMIFS(Salidas_REM!$I:$I,Salidas_REM!$D:$D,A894,Salidas_REM!$F:$F,C894,Salidas_REM!$B:$B,$B$1,Salidas_REM!$C:$C,"Realizada")</f>
        <v>0</v>
      </c>
    </row>
    <row r="895" customFormat="false" ht="15" hidden="false" customHeight="false" outlineLevel="0" collapsed="false">
      <c r="A895" s="5" t="s">
        <v>100</v>
      </c>
      <c r="B895" s="5" t="s">
        <v>101</v>
      </c>
      <c r="C895" s="5" t="s">
        <v>1012</v>
      </c>
      <c r="D895" s="5" t="s">
        <v>1011</v>
      </c>
      <c r="E895" s="5" t="s">
        <v>924</v>
      </c>
      <c r="F895" s="10" t="n">
        <f aca="false">SUMIFS(Salidas_REM!$I:$I,Salidas_REM!$D:$D,A895,Salidas_REM!$F:$F,C895,Salidas_REM!$B:$B,$B$1,Salidas_REM!$C:$C,"Realizada")</f>
        <v>0</v>
      </c>
    </row>
    <row r="896" customFormat="false" ht="15" hidden="false" customHeight="false" outlineLevel="0" collapsed="false">
      <c r="A896" s="5" t="s">
        <v>100</v>
      </c>
      <c r="B896" s="5" t="s">
        <v>101</v>
      </c>
      <c r="C896" s="5" t="s">
        <v>1013</v>
      </c>
      <c r="D896" s="5" t="s">
        <v>1011</v>
      </c>
      <c r="E896" s="5" t="s">
        <v>926</v>
      </c>
      <c r="F896" s="10" t="n">
        <f aca="false">SUMIFS(Salidas_REM!$I:$I,Salidas_REM!$D:$D,A896,Salidas_REM!$F:$F,C896,Salidas_REM!$B:$B,$B$1,Salidas_REM!$C:$C,"Realizada")</f>
        <v>0</v>
      </c>
    </row>
    <row r="897" customFormat="false" ht="15" hidden="false" customHeight="false" outlineLevel="0" collapsed="false">
      <c r="A897" s="5" t="s">
        <v>100</v>
      </c>
      <c r="B897" s="5" t="s">
        <v>101</v>
      </c>
      <c r="C897" s="5" t="s">
        <v>1014</v>
      </c>
      <c r="D897" s="5" t="s">
        <v>1011</v>
      </c>
      <c r="E897" s="5" t="s">
        <v>928</v>
      </c>
      <c r="F897" s="10" t="n">
        <f aca="false">SUMIFS(Salidas_REM!$I:$I,Salidas_REM!$D:$D,A897,Salidas_REM!$F:$F,C897,Salidas_REM!$B:$B,$B$1,Salidas_REM!$C:$C,"Realizada")</f>
        <v>0</v>
      </c>
    </row>
    <row r="898" customFormat="false" ht="15" hidden="false" customHeight="false" outlineLevel="0" collapsed="false">
      <c r="A898" s="5" t="s">
        <v>100</v>
      </c>
      <c r="B898" s="5" t="s">
        <v>101</v>
      </c>
      <c r="C898" s="5" t="s">
        <v>1015</v>
      </c>
      <c r="D898" s="5" t="s">
        <v>1011</v>
      </c>
      <c r="E898" s="5" t="s">
        <v>930</v>
      </c>
      <c r="F898" s="10" t="n">
        <f aca="false">SUMIFS(Salidas_REM!$I:$I,Salidas_REM!$D:$D,A898,Salidas_REM!$F:$F,C898,Salidas_REM!$B:$B,$B$1,Salidas_REM!$C:$C,"Realizada")</f>
        <v>0</v>
      </c>
    </row>
    <row r="899" customFormat="false" ht="15" hidden="false" customHeight="false" outlineLevel="0" collapsed="false">
      <c r="A899" s="5" t="s">
        <v>100</v>
      </c>
      <c r="B899" s="5" t="s">
        <v>101</v>
      </c>
      <c r="C899" s="5" t="s">
        <v>1016</v>
      </c>
      <c r="D899" s="5" t="s">
        <v>1017</v>
      </c>
      <c r="E899" s="5" t="s">
        <v>104</v>
      </c>
      <c r="F899" s="10" t="n">
        <f aca="false">SUMIFS(Salidas_REM!$I:$I,Salidas_REM!$D:$D,A899,Salidas_REM!$F:$F,C899,Salidas_REM!$B:$B,$B$1,Salidas_REM!$C:$C,"Realizada")</f>
        <v>0</v>
      </c>
    </row>
    <row r="900" customFormat="false" ht="15" hidden="false" customHeight="false" outlineLevel="0" collapsed="false">
      <c r="A900" s="5" t="s">
        <v>100</v>
      </c>
      <c r="B900" s="5" t="s">
        <v>101</v>
      </c>
      <c r="C900" s="5" t="s">
        <v>1018</v>
      </c>
      <c r="D900" s="5" t="s">
        <v>1017</v>
      </c>
      <c r="E900" s="5" t="s">
        <v>924</v>
      </c>
      <c r="F900" s="10" t="n">
        <f aca="false">SUMIFS(Salidas_REM!$I:$I,Salidas_REM!$D:$D,A900,Salidas_REM!$F:$F,C900,Salidas_REM!$B:$B,$B$1,Salidas_REM!$C:$C,"Realizada")</f>
        <v>0</v>
      </c>
    </row>
    <row r="901" customFormat="false" ht="15" hidden="false" customHeight="false" outlineLevel="0" collapsed="false">
      <c r="A901" s="5" t="s">
        <v>100</v>
      </c>
      <c r="B901" s="5" t="s">
        <v>101</v>
      </c>
      <c r="C901" s="5" t="s">
        <v>1019</v>
      </c>
      <c r="D901" s="5" t="s">
        <v>1017</v>
      </c>
      <c r="E901" s="5" t="s">
        <v>926</v>
      </c>
      <c r="F901" s="10" t="n">
        <f aca="false">SUMIFS(Salidas_REM!$I:$I,Salidas_REM!$D:$D,A901,Salidas_REM!$F:$F,C901,Salidas_REM!$B:$B,$B$1,Salidas_REM!$C:$C,"Realizada")</f>
        <v>0</v>
      </c>
    </row>
    <row r="902" customFormat="false" ht="15" hidden="false" customHeight="false" outlineLevel="0" collapsed="false">
      <c r="A902" s="5" t="s">
        <v>100</v>
      </c>
      <c r="B902" s="5" t="s">
        <v>101</v>
      </c>
      <c r="C902" s="5" t="s">
        <v>1020</v>
      </c>
      <c r="D902" s="5" t="s">
        <v>1017</v>
      </c>
      <c r="E902" s="5" t="s">
        <v>928</v>
      </c>
      <c r="F902" s="10" t="n">
        <f aca="false">SUMIFS(Salidas_REM!$I:$I,Salidas_REM!$D:$D,A902,Salidas_REM!$F:$F,C902,Salidas_REM!$B:$B,$B$1,Salidas_REM!$C:$C,"Realizada")</f>
        <v>0</v>
      </c>
    </row>
    <row r="903" customFormat="false" ht="15" hidden="false" customHeight="false" outlineLevel="0" collapsed="false">
      <c r="A903" s="5" t="s">
        <v>100</v>
      </c>
      <c r="B903" s="5" t="s">
        <v>101</v>
      </c>
      <c r="C903" s="5" t="s">
        <v>1021</v>
      </c>
      <c r="D903" s="5" t="s">
        <v>1017</v>
      </c>
      <c r="E903" s="5" t="s">
        <v>930</v>
      </c>
      <c r="F903" s="10" t="n">
        <f aca="false">SUMIFS(Salidas_REM!$I:$I,Salidas_REM!$D:$D,A903,Salidas_REM!$F:$F,C903,Salidas_REM!$B:$B,$B$1,Salidas_REM!$C:$C,"Realizada")</f>
        <v>0</v>
      </c>
    </row>
    <row r="904" customFormat="false" ht="15" hidden="false" customHeight="false" outlineLevel="0" collapsed="false">
      <c r="A904" s="5" t="s">
        <v>100</v>
      </c>
      <c r="B904" s="5" t="s">
        <v>101</v>
      </c>
      <c r="C904" s="5" t="s">
        <v>1022</v>
      </c>
      <c r="D904" s="5" t="s">
        <v>1023</v>
      </c>
      <c r="E904" s="5" t="s">
        <v>104</v>
      </c>
      <c r="F904" s="10" t="n">
        <f aca="false">SUMIFS(Salidas_REM!$I:$I,Salidas_REM!$D:$D,A904,Salidas_REM!$F:$F,C904,Salidas_REM!$B:$B,$B$1,Salidas_REM!$C:$C,"Realizada")</f>
        <v>0</v>
      </c>
    </row>
    <row r="905" customFormat="false" ht="15" hidden="false" customHeight="false" outlineLevel="0" collapsed="false">
      <c r="A905" s="5" t="s">
        <v>100</v>
      </c>
      <c r="B905" s="5" t="s">
        <v>101</v>
      </c>
      <c r="C905" s="5" t="s">
        <v>1024</v>
      </c>
      <c r="D905" s="5" t="s">
        <v>1023</v>
      </c>
      <c r="E905" s="5" t="s">
        <v>924</v>
      </c>
      <c r="F905" s="10" t="n">
        <f aca="false">SUMIFS(Salidas_REM!$I:$I,Salidas_REM!$D:$D,A905,Salidas_REM!$F:$F,C905,Salidas_REM!$B:$B,$B$1,Salidas_REM!$C:$C,"Realizada")</f>
        <v>0</v>
      </c>
    </row>
    <row r="906" customFormat="false" ht="15" hidden="false" customHeight="false" outlineLevel="0" collapsed="false">
      <c r="A906" s="5" t="s">
        <v>100</v>
      </c>
      <c r="B906" s="5" t="s">
        <v>101</v>
      </c>
      <c r="C906" s="5" t="s">
        <v>1025</v>
      </c>
      <c r="D906" s="5" t="s">
        <v>1023</v>
      </c>
      <c r="E906" s="5" t="s">
        <v>926</v>
      </c>
      <c r="F906" s="10" t="n">
        <f aca="false">SUMIFS(Salidas_REM!$I:$I,Salidas_REM!$D:$D,A906,Salidas_REM!$F:$F,C906,Salidas_REM!$B:$B,$B$1,Salidas_REM!$C:$C,"Realizada")</f>
        <v>0</v>
      </c>
    </row>
    <row r="907" customFormat="false" ht="15" hidden="false" customHeight="false" outlineLevel="0" collapsed="false">
      <c r="A907" s="5" t="s">
        <v>100</v>
      </c>
      <c r="B907" s="5" t="s">
        <v>101</v>
      </c>
      <c r="C907" s="5" t="s">
        <v>1026</v>
      </c>
      <c r="D907" s="5" t="s">
        <v>1023</v>
      </c>
      <c r="E907" s="5" t="s">
        <v>928</v>
      </c>
      <c r="F907" s="10" t="n">
        <f aca="false">SUMIFS(Salidas_REM!$I:$I,Salidas_REM!$D:$D,A907,Salidas_REM!$F:$F,C907,Salidas_REM!$B:$B,$B$1,Salidas_REM!$C:$C,"Realizada")</f>
        <v>0</v>
      </c>
    </row>
    <row r="908" customFormat="false" ht="15" hidden="false" customHeight="false" outlineLevel="0" collapsed="false">
      <c r="A908" s="5" t="s">
        <v>100</v>
      </c>
      <c r="B908" s="5" t="s">
        <v>101</v>
      </c>
      <c r="C908" s="5" t="s">
        <v>1027</v>
      </c>
      <c r="D908" s="5" t="s">
        <v>1023</v>
      </c>
      <c r="E908" s="5" t="s">
        <v>930</v>
      </c>
      <c r="F908" s="10" t="n">
        <f aca="false">SUMIFS(Salidas_REM!$I:$I,Salidas_REM!$D:$D,A908,Salidas_REM!$F:$F,C908,Salidas_REM!$B:$B,$B$1,Salidas_REM!$C:$C,"Realizada")</f>
        <v>0</v>
      </c>
    </row>
    <row r="909" customFormat="false" ht="15" hidden="false" customHeight="false" outlineLevel="0" collapsed="false">
      <c r="A909" s="5" t="s">
        <v>100</v>
      </c>
      <c r="B909" s="5" t="s">
        <v>101</v>
      </c>
      <c r="C909" s="5" t="s">
        <v>1028</v>
      </c>
      <c r="D909" s="5" t="s">
        <v>1029</v>
      </c>
      <c r="E909" s="5" t="s">
        <v>104</v>
      </c>
      <c r="F909" s="10" t="n">
        <f aca="false">SUMIFS(Salidas_REM!$I:$I,Salidas_REM!$D:$D,A909,Salidas_REM!$F:$F,C909,Salidas_REM!$B:$B,$B$1,Salidas_REM!$C:$C,"Realizada")</f>
        <v>0</v>
      </c>
    </row>
    <row r="910" customFormat="false" ht="15" hidden="false" customHeight="false" outlineLevel="0" collapsed="false">
      <c r="A910" s="5" t="s">
        <v>100</v>
      </c>
      <c r="B910" s="5" t="s">
        <v>101</v>
      </c>
      <c r="C910" s="5" t="s">
        <v>1030</v>
      </c>
      <c r="D910" s="5" t="s">
        <v>1029</v>
      </c>
      <c r="E910" s="5" t="s">
        <v>924</v>
      </c>
      <c r="F910" s="10" t="n">
        <f aca="false">SUMIFS(Salidas_REM!$I:$I,Salidas_REM!$D:$D,A910,Salidas_REM!$F:$F,C910,Salidas_REM!$B:$B,$B$1,Salidas_REM!$C:$C,"Realizada")</f>
        <v>0</v>
      </c>
    </row>
    <row r="911" customFormat="false" ht="15" hidden="false" customHeight="false" outlineLevel="0" collapsed="false">
      <c r="A911" s="5" t="s">
        <v>100</v>
      </c>
      <c r="B911" s="5" t="s">
        <v>101</v>
      </c>
      <c r="C911" s="5" t="s">
        <v>1031</v>
      </c>
      <c r="D911" s="5" t="s">
        <v>1029</v>
      </c>
      <c r="E911" s="5" t="s">
        <v>926</v>
      </c>
      <c r="F911" s="10" t="n">
        <f aca="false">SUMIFS(Salidas_REM!$I:$I,Salidas_REM!$D:$D,A911,Salidas_REM!$F:$F,C911,Salidas_REM!$B:$B,$B$1,Salidas_REM!$C:$C,"Realizada")</f>
        <v>0</v>
      </c>
    </row>
    <row r="912" customFormat="false" ht="15" hidden="false" customHeight="false" outlineLevel="0" collapsed="false">
      <c r="A912" s="5" t="s">
        <v>100</v>
      </c>
      <c r="B912" s="5" t="s">
        <v>101</v>
      </c>
      <c r="C912" s="5" t="s">
        <v>1032</v>
      </c>
      <c r="D912" s="5" t="s">
        <v>1029</v>
      </c>
      <c r="E912" s="5" t="s">
        <v>928</v>
      </c>
      <c r="F912" s="10" t="n">
        <f aca="false">SUMIFS(Salidas_REM!$I:$I,Salidas_REM!$D:$D,A912,Salidas_REM!$F:$F,C912,Salidas_REM!$B:$B,$B$1,Salidas_REM!$C:$C,"Realizada")</f>
        <v>0</v>
      </c>
    </row>
    <row r="913" customFormat="false" ht="15" hidden="false" customHeight="false" outlineLevel="0" collapsed="false">
      <c r="A913" s="5" t="s">
        <v>100</v>
      </c>
      <c r="B913" s="5" t="s">
        <v>101</v>
      </c>
      <c r="C913" s="5" t="s">
        <v>1033</v>
      </c>
      <c r="D913" s="5" t="s">
        <v>1029</v>
      </c>
      <c r="E913" s="5" t="s">
        <v>930</v>
      </c>
      <c r="F913" s="10" t="n">
        <f aca="false">SUMIFS(Salidas_REM!$I:$I,Salidas_REM!$D:$D,A913,Salidas_REM!$F:$F,C913,Salidas_REM!$B:$B,$B$1,Salidas_REM!$C:$C,"Realizada")</f>
        <v>0</v>
      </c>
    </row>
    <row r="914" customFormat="false" ht="15" hidden="false" customHeight="false" outlineLevel="0" collapsed="false">
      <c r="A914" s="5" t="s">
        <v>100</v>
      </c>
      <c r="B914" s="5" t="s">
        <v>101</v>
      </c>
      <c r="C914" s="5" t="s">
        <v>1034</v>
      </c>
      <c r="D914" s="5" t="s">
        <v>1035</v>
      </c>
      <c r="E914" s="5" t="s">
        <v>104</v>
      </c>
      <c r="F914" s="10" t="n">
        <f aca="false">SUMIFS(Salidas_REM!$I:$I,Salidas_REM!$D:$D,A914,Salidas_REM!$F:$F,C914,Salidas_REM!$B:$B,$B$1,Salidas_REM!$C:$C,"Realizada")</f>
        <v>0</v>
      </c>
    </row>
    <row r="915" customFormat="false" ht="15" hidden="false" customHeight="false" outlineLevel="0" collapsed="false">
      <c r="A915" s="5" t="s">
        <v>100</v>
      </c>
      <c r="B915" s="5" t="s">
        <v>101</v>
      </c>
      <c r="C915" s="5" t="s">
        <v>1036</v>
      </c>
      <c r="D915" s="5" t="s">
        <v>1035</v>
      </c>
      <c r="E915" s="5" t="s">
        <v>924</v>
      </c>
      <c r="F915" s="10" t="n">
        <f aca="false">SUMIFS(Salidas_REM!$I:$I,Salidas_REM!$D:$D,A915,Salidas_REM!$F:$F,C915,Salidas_REM!$B:$B,$B$1,Salidas_REM!$C:$C,"Realizada")</f>
        <v>0</v>
      </c>
    </row>
    <row r="916" customFormat="false" ht="15" hidden="false" customHeight="false" outlineLevel="0" collapsed="false">
      <c r="A916" s="5" t="s">
        <v>100</v>
      </c>
      <c r="B916" s="5" t="s">
        <v>101</v>
      </c>
      <c r="C916" s="5" t="s">
        <v>1037</v>
      </c>
      <c r="D916" s="5" t="s">
        <v>1035</v>
      </c>
      <c r="E916" s="5" t="s">
        <v>926</v>
      </c>
      <c r="F916" s="10" t="n">
        <f aca="false">SUMIFS(Salidas_REM!$I:$I,Salidas_REM!$D:$D,A916,Salidas_REM!$F:$F,C916,Salidas_REM!$B:$B,$B$1,Salidas_REM!$C:$C,"Realizada")</f>
        <v>0</v>
      </c>
    </row>
    <row r="917" customFormat="false" ht="15" hidden="false" customHeight="false" outlineLevel="0" collapsed="false">
      <c r="A917" s="5" t="s">
        <v>100</v>
      </c>
      <c r="B917" s="5" t="s">
        <v>101</v>
      </c>
      <c r="C917" s="5" t="s">
        <v>1038</v>
      </c>
      <c r="D917" s="5" t="s">
        <v>1035</v>
      </c>
      <c r="E917" s="5" t="s">
        <v>928</v>
      </c>
      <c r="F917" s="10" t="n">
        <f aca="false">SUMIFS(Salidas_REM!$I:$I,Salidas_REM!$D:$D,A917,Salidas_REM!$F:$F,C917,Salidas_REM!$B:$B,$B$1,Salidas_REM!$C:$C,"Realizada")</f>
        <v>0</v>
      </c>
    </row>
    <row r="918" customFormat="false" ht="15" hidden="false" customHeight="false" outlineLevel="0" collapsed="false">
      <c r="A918" s="5" t="s">
        <v>100</v>
      </c>
      <c r="B918" s="5" t="s">
        <v>101</v>
      </c>
      <c r="C918" s="5" t="s">
        <v>1039</v>
      </c>
      <c r="D918" s="5" t="s">
        <v>1035</v>
      </c>
      <c r="E918" s="5" t="s">
        <v>930</v>
      </c>
      <c r="F918" s="10" t="n">
        <f aca="false">SUMIFS(Salidas_REM!$I:$I,Salidas_REM!$D:$D,A918,Salidas_REM!$F:$F,C918,Salidas_REM!$B:$B,$B$1,Salidas_REM!$C:$C,"Realizada")</f>
        <v>0</v>
      </c>
    </row>
    <row r="919" customFormat="false" ht="15" hidden="false" customHeight="false" outlineLevel="0" collapsed="false">
      <c r="A919" s="5" t="s">
        <v>100</v>
      </c>
      <c r="B919" s="5" t="s">
        <v>101</v>
      </c>
      <c r="C919" s="5" t="s">
        <v>1040</v>
      </c>
      <c r="D919" s="5" t="s">
        <v>1041</v>
      </c>
      <c r="E919" s="5" t="s">
        <v>104</v>
      </c>
      <c r="F919" s="10" t="n">
        <f aca="false">SUMIFS(Salidas_REM!$I:$I,Salidas_REM!$D:$D,A919,Salidas_REM!$F:$F,C919,Salidas_REM!$B:$B,$B$1,Salidas_REM!$C:$C,"Realizada")</f>
        <v>0</v>
      </c>
    </row>
    <row r="920" customFormat="false" ht="15" hidden="false" customHeight="false" outlineLevel="0" collapsed="false">
      <c r="A920" s="5" t="s">
        <v>100</v>
      </c>
      <c r="B920" s="5" t="s">
        <v>101</v>
      </c>
      <c r="C920" s="5" t="s">
        <v>1042</v>
      </c>
      <c r="D920" s="5" t="s">
        <v>1041</v>
      </c>
      <c r="E920" s="5" t="s">
        <v>924</v>
      </c>
      <c r="F920" s="10" t="n">
        <f aca="false">SUMIFS(Salidas_REM!$I:$I,Salidas_REM!$D:$D,A920,Salidas_REM!$F:$F,C920,Salidas_REM!$B:$B,$B$1,Salidas_REM!$C:$C,"Realizada")</f>
        <v>0</v>
      </c>
    </row>
    <row r="921" customFormat="false" ht="15" hidden="false" customHeight="false" outlineLevel="0" collapsed="false">
      <c r="A921" s="5" t="s">
        <v>100</v>
      </c>
      <c r="B921" s="5" t="s">
        <v>101</v>
      </c>
      <c r="C921" s="5" t="s">
        <v>1043</v>
      </c>
      <c r="D921" s="5" t="s">
        <v>1041</v>
      </c>
      <c r="E921" s="5" t="s">
        <v>926</v>
      </c>
      <c r="F921" s="10" t="n">
        <f aca="false">SUMIFS(Salidas_REM!$I:$I,Salidas_REM!$D:$D,A921,Salidas_REM!$F:$F,C921,Salidas_REM!$B:$B,$B$1,Salidas_REM!$C:$C,"Realizada")</f>
        <v>0</v>
      </c>
    </row>
    <row r="922" customFormat="false" ht="15" hidden="false" customHeight="false" outlineLevel="0" collapsed="false">
      <c r="A922" s="5" t="s">
        <v>100</v>
      </c>
      <c r="B922" s="5" t="s">
        <v>101</v>
      </c>
      <c r="C922" s="5" t="s">
        <v>1044</v>
      </c>
      <c r="D922" s="5" t="s">
        <v>1041</v>
      </c>
      <c r="E922" s="5" t="s">
        <v>928</v>
      </c>
      <c r="F922" s="10" t="n">
        <f aca="false">SUMIFS(Salidas_REM!$I:$I,Salidas_REM!$D:$D,A922,Salidas_REM!$F:$F,C922,Salidas_REM!$B:$B,$B$1,Salidas_REM!$C:$C,"Realizada")</f>
        <v>0</v>
      </c>
    </row>
    <row r="923" customFormat="false" ht="15" hidden="false" customHeight="false" outlineLevel="0" collapsed="false">
      <c r="A923" s="5" t="s">
        <v>100</v>
      </c>
      <c r="B923" s="5" t="s">
        <v>101</v>
      </c>
      <c r="C923" s="5" t="s">
        <v>1045</v>
      </c>
      <c r="D923" s="5" t="s">
        <v>1041</v>
      </c>
      <c r="E923" s="5" t="s">
        <v>930</v>
      </c>
      <c r="F923" s="10" t="n">
        <f aca="false">SUMIFS(Salidas_REM!$I:$I,Salidas_REM!$D:$D,A923,Salidas_REM!$F:$F,C923,Salidas_REM!$B:$B,$B$1,Salidas_REM!$C:$C,"Realizada")</f>
        <v>0</v>
      </c>
    </row>
  </sheetData>
  <autoFilter ref="A3:F923"/>
  <conditionalFormatting sqref="F4:F923">
    <cfRule type="cellIs" priority="2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1046</v>
      </c>
      <c r="E1" s="4" t="s">
        <v>20</v>
      </c>
      <c r="F1" s="4" t="s">
        <v>17</v>
      </c>
      <c r="G1" s="4" t="s">
        <v>33</v>
      </c>
      <c r="H1" s="4" t="s">
        <v>1047</v>
      </c>
      <c r="I1" s="4" t="s">
        <v>1048</v>
      </c>
    </row>
    <row r="2" customFormat="false" ht="15" hidden="false" customHeight="false" outlineLevel="0" collapsed="false">
      <c r="A2" s="5" t="str">
        <f aca="false">IF(Registro!A2="","",Registro!A2)</f>
        <v>C5-2610-K7Q3</v>
      </c>
      <c r="B2" s="5" t="str">
        <f aca="false">IF(Registro!A2="","",Registro!B2)</f>
        <v>2026-10-03</v>
      </c>
      <c r="C2" s="5" t="str">
        <f aca="false">IF(Registro!A2="","",Registro!C2)</f>
        <v>2026-10</v>
      </c>
      <c r="D2" s="5" t="str">
        <f aca="false">IF(Registro!A2="","",Registro!E2)</f>
        <v>Feria de salud en la plaza</v>
      </c>
      <c r="E2" s="5" t="str">
        <f aca="false">IF(Registro!A2="","",Registro!G2)</f>
        <v>Promoción de la salud</v>
      </c>
      <c r="F2" s="5" t="str">
        <f aca="false">IF(Registro!A2="","",Registro!D2)</f>
        <v>Realizada</v>
      </c>
      <c r="G2" s="5" t="n">
        <f aca="false">IF(Registro!A2="","",Registro!T2)</f>
        <v>100</v>
      </c>
      <c r="H2" s="5" t="n">
        <f aca="false">IF(Registro!A2="","",IF(Registro!D2="Realizada",Registro!L2,0))</f>
        <v>119</v>
      </c>
      <c r="I2" s="11" t="n">
        <f aca="false">IF(OR(Registro!A2="",N(G2)=0),"",H2/G2)</f>
        <v>1.19</v>
      </c>
    </row>
    <row r="3" customFormat="false" ht="15" hidden="false" customHeight="false" outlineLevel="0" collapsed="false">
      <c r="A3" s="5" t="str">
        <f aca="false">IF(Registro!A3="","",Registro!A3)</f>
        <v>C5-2610-M2XW</v>
      </c>
      <c r="B3" s="5" t="str">
        <f aca="false">IF(Registro!A3="","",Registro!B3)</f>
        <v>2026-10-08</v>
      </c>
      <c r="C3" s="5" t="str">
        <f aca="false">IF(Registro!A3="","",Registro!C3)</f>
        <v>2026-10</v>
      </c>
      <c r="D3" s="5" t="str">
        <f aca="false">IF(Registro!A3="","",Registro!E3)</f>
        <v>Educación grupal alimentación saludable</v>
      </c>
      <c r="E3" s="5" t="str">
        <f aca="false">IF(Registro!A3="","",Registro!G3)</f>
        <v>Programa cardiovascular</v>
      </c>
      <c r="F3" s="5" t="str">
        <f aca="false">IF(Registro!A3="","",Registro!D3)</f>
        <v>Realizada</v>
      </c>
      <c r="G3" s="5" t="n">
        <f aca="false">IF(Registro!A3="","",Registro!T3)</f>
        <v>12</v>
      </c>
      <c r="H3" s="5" t="n">
        <f aca="false">IF(Registro!A3="","",IF(Registro!D3="Realizada",Registro!L3,0))</f>
        <v>15</v>
      </c>
      <c r="I3" s="11" t="n">
        <f aca="false">IF(OR(Registro!A3="",N(G3)=0),"",H3/G3)</f>
        <v>1.25</v>
      </c>
    </row>
    <row r="4" customFormat="false" ht="15" hidden="false" customHeight="false" outlineLevel="0" collapsed="false">
      <c r="A4" s="5" t="str">
        <f aca="false">IF(Registro!A4="","",Registro!A4)</f>
        <v>C5-2610-P9DH</v>
      </c>
      <c r="B4" s="5" t="str">
        <f aca="false">IF(Registro!A4="","",Registro!B4)</f>
        <v>2026-10-10</v>
      </c>
      <c r="C4" s="5" t="str">
        <f aca="false">IF(Registro!A4="","",Registro!C4)</f>
        <v>2026-10</v>
      </c>
      <c r="D4" s="5" t="str">
        <f aca="false">IF(Registro!A4="","",Registro!E4)</f>
        <v>Taller Yo me cuido</v>
      </c>
      <c r="E4" s="5" t="str">
        <f aca="false">IF(Registro!A4="","",Registro!G4)</f>
        <v>Salud mental</v>
      </c>
      <c r="F4" s="5" t="str">
        <f aca="false">IF(Registro!A4="","",Registro!D4)</f>
        <v>Realizada</v>
      </c>
      <c r="G4" s="5" t="n">
        <f aca="false">IF(Registro!A4="","",Registro!T4)</f>
        <v>15</v>
      </c>
      <c r="H4" s="5" t="n">
        <f aca="false">IF(Registro!A4="","",IF(Registro!D4="Realizada",Registro!L4,0))</f>
        <v>15</v>
      </c>
      <c r="I4" s="11" t="n">
        <f aca="false">IF(OR(Registro!A4="",N(G4)=0),"",H4/G4)</f>
        <v>1</v>
      </c>
    </row>
    <row r="5" customFormat="false" ht="15" hidden="false" customHeight="false" outlineLevel="0" collapsed="false">
      <c r="A5" s="5" t="str">
        <f aca="false">IF(Registro!A5="","",Registro!A5)</f>
        <v>C5-2610-T4RB</v>
      </c>
      <c r="B5" s="5" t="str">
        <f aca="false">IF(Registro!A5="","",Registro!B5)</f>
        <v>2026-10-15</v>
      </c>
      <c r="C5" s="5" t="str">
        <f aca="false">IF(Registro!A5="","",Registro!C5)</f>
        <v>2026-10</v>
      </c>
      <c r="D5" s="5" t="str">
        <f aca="false">IF(Registro!A5="","",Registro!E5)</f>
        <v>Reunión mesa territorial Estación Central</v>
      </c>
      <c r="E5" s="5" t="str">
        <f aca="false">IF(Registro!A5="","",Registro!G5)</f>
        <v>Participación social</v>
      </c>
      <c r="F5" s="5" t="str">
        <f aca="false">IF(Registro!A5="","",Registro!D5)</f>
        <v>Realizada</v>
      </c>
      <c r="G5" s="5" t="n">
        <f aca="false">IF(Registro!A5="","",Registro!T5)</f>
        <v>12</v>
      </c>
      <c r="H5" s="5" t="n">
        <f aca="false">IF(Registro!A5="","",IF(Registro!D5="Realizada",Registro!L5,0))</f>
        <v>13</v>
      </c>
      <c r="I5" s="11" t="n">
        <f aca="false">IF(OR(Registro!A5="",N(G5)=0),"",H5/G5)</f>
        <v>1.08333333333333</v>
      </c>
    </row>
    <row r="6" customFormat="false" ht="15" hidden="false" customHeight="false" outlineLevel="0" collapsed="false">
      <c r="A6" s="5" t="str">
        <f aca="false">IF(Registro!A6="","",Registro!A6)</f>
        <v>C5-2610-W8NA</v>
      </c>
      <c r="B6" s="5" t="str">
        <f aca="false">IF(Registro!A6="","",Registro!B6)</f>
        <v>2026-10-22</v>
      </c>
      <c r="C6" s="5" t="str">
        <f aca="false">IF(Registro!A6="","",Registro!C6)</f>
        <v>2026-10</v>
      </c>
      <c r="D6" s="5" t="str">
        <f aca="false">IF(Registro!A6="","",Registro!E6)</f>
        <v>Trawün de salud intercultural</v>
      </c>
      <c r="E6" s="5" t="str">
        <f aca="false">IF(Registro!A6="","",Registro!G6)</f>
        <v>PESPI</v>
      </c>
      <c r="F6" s="5" t="str">
        <f aca="false">IF(Registro!A6="","",Registro!D6)</f>
        <v>Realizada</v>
      </c>
      <c r="G6" s="5" t="n">
        <f aca="false">IF(Registro!A6="","",Registro!T6)</f>
        <v>25</v>
      </c>
      <c r="H6" s="5" t="n">
        <f aca="false">IF(Registro!A6="","",IF(Registro!D6="Realizada",Registro!L6,0))</f>
        <v>31</v>
      </c>
      <c r="I6" s="11" t="n">
        <f aca="false">IF(OR(Registro!A6="",N(G6)=0),"",H6/G6)</f>
        <v>1.24</v>
      </c>
    </row>
    <row r="7" customFormat="false" ht="15" hidden="false" customHeight="false" outlineLevel="0" collapsed="false">
      <c r="A7" s="5" t="str">
        <f aca="false">IF(Registro!A7="","",Registro!A7)</f>
        <v>C5-2610-H3ZJ</v>
      </c>
      <c r="B7" s="5" t="str">
        <f aca="false">IF(Registro!A7="","",Registro!B7)</f>
        <v>2026-10-24</v>
      </c>
      <c r="C7" s="5" t="str">
        <f aca="false">IF(Registro!A7="","",Registro!C7)</f>
        <v>2026-10</v>
      </c>
      <c r="D7" s="5" t="str">
        <f aca="false">IF(Registro!A7="","",Registro!E7)</f>
        <v>Preparación material taller climaterio</v>
      </c>
      <c r="E7" s="5" t="str">
        <f aca="false">IF(Registro!A7="","",Registro!G7)</f>
        <v>Salud de la mujer</v>
      </c>
      <c r="F7" s="5" t="str">
        <f aca="false">IF(Registro!A7="","",Registro!D7)</f>
        <v>Realizada</v>
      </c>
      <c r="G7" s="5" t="n">
        <f aca="false">IF(Registro!A7="","",Registro!T7)</f>
        <v>0</v>
      </c>
      <c r="H7" s="5" t="n">
        <f aca="false">IF(Registro!A7="","",IF(Registro!D7="Realizada",Registro!L7,0))</f>
        <v>0</v>
      </c>
      <c r="I7" s="11" t="str">
        <f aca="false">IF(OR(Registro!A7="",N(G7)=0),"",H7/G7)</f>
        <v/>
      </c>
    </row>
    <row r="8" customFormat="false" ht="15" hidden="false" customHeight="false" outlineLevel="0" collapsed="false">
      <c r="A8" s="5" t="str">
        <f aca="false">IF(Registro!A8="","",Registro!A8)</f>
        <v>C5-2611-B6FU</v>
      </c>
      <c r="B8" s="5" t="str">
        <f aca="false">IF(Registro!A8="","",Registro!B8)</f>
        <v>2026-11-12</v>
      </c>
      <c r="C8" s="5" t="str">
        <f aca="false">IF(Registro!A8="","",Registro!C8)</f>
        <v>2026-11</v>
      </c>
      <c r="D8" s="5" t="str">
        <f aca="false">IF(Registro!A8="","",Registro!E8)</f>
        <v>Cuenta pública participativa 2026</v>
      </c>
      <c r="E8" s="5" t="str">
        <f aca="false">IF(Registro!A8="","",Registro!G8)</f>
        <v>Participación social</v>
      </c>
      <c r="F8" s="5" t="str">
        <f aca="false">IF(Registro!A8="","",Registro!D8)</f>
        <v>Programada</v>
      </c>
      <c r="G8" s="5" t="n">
        <f aca="false">IF(Registro!A8="","",Registro!T8)</f>
        <v>80</v>
      </c>
      <c r="H8" s="5" t="n">
        <f aca="false">IF(Registro!A8="","",IF(Registro!D8="Realizada",Registro!L8,0))</f>
        <v>0</v>
      </c>
      <c r="I8" s="11" t="n">
        <f aca="false">IF(OR(Registro!A8="",N(G8)=0),"",H8/G8)</f>
        <v>0</v>
      </c>
    </row>
    <row r="9" customFormat="false" ht="15" hidden="false" customHeight="false" outlineLevel="0" collapsed="false">
      <c r="A9" s="5" t="str">
        <f aca="false">IF(Registro!A9="","",Registro!A9)</f>
        <v>C5-2611-R5CY</v>
      </c>
      <c r="B9" s="5" t="str">
        <f aca="false">IF(Registro!A9="","",Registro!B9)</f>
        <v>2026-11-05</v>
      </c>
      <c r="C9" s="5" t="str">
        <f aca="false">IF(Registro!A9="","",Registro!C9)</f>
        <v>2026-11</v>
      </c>
      <c r="D9" s="5" t="str">
        <f aca="false">IF(Registro!A9="","",Registro!E9)</f>
        <v>Taller de prevención de caídas</v>
      </c>
      <c r="E9" s="5" t="str">
        <f aca="false">IF(Registro!A9="","",Registro!G9)</f>
        <v>Más Adultos Mayores Autovalentes</v>
      </c>
      <c r="F9" s="5" t="str">
        <f aca="false">IF(Registro!A9="","",Registro!D9)</f>
        <v>Programada</v>
      </c>
      <c r="G9" s="5" t="n">
        <f aca="false">IF(Registro!A9="","",Registro!T9)</f>
        <v>15</v>
      </c>
      <c r="H9" s="5" t="n">
        <f aca="false">IF(Registro!A9="","",IF(Registro!D9="Realizada",Registro!L9,0))</f>
        <v>0</v>
      </c>
      <c r="I9" s="11" t="n">
        <f aca="false">IF(OR(Registro!A9="",N(G9)=0),"",H9/G9)</f>
        <v>0</v>
      </c>
    </row>
    <row r="10" customFormat="false" ht="15" hidden="false" customHeight="false" outlineLevel="0" collapsed="false">
      <c r="A10" s="5" t="str">
        <f aca="false">IF(Registro!A10="","",Registro!A10)</f>
        <v/>
      </c>
      <c r="B10" s="5" t="str">
        <f aca="false">IF(Registro!A10="","",Registro!B10)</f>
        <v/>
      </c>
      <c r="C10" s="5" t="str">
        <f aca="false">IF(Registro!A10="","",Registro!C10)</f>
        <v/>
      </c>
      <c r="D10" s="5" t="str">
        <f aca="false">IF(Registro!A10="","",Registro!E10)</f>
        <v/>
      </c>
      <c r="E10" s="5" t="str">
        <f aca="false">IF(Registro!A10="","",Registro!G10)</f>
        <v/>
      </c>
      <c r="F10" s="5" t="str">
        <f aca="false">IF(Registro!A10="","",Registro!D10)</f>
        <v/>
      </c>
      <c r="G10" s="5" t="str">
        <f aca="false">IF(Registro!A10="","",Registro!T10)</f>
        <v/>
      </c>
      <c r="H10" s="5" t="str">
        <f aca="false">IF(Registro!A10="","",IF(Registro!D10="Realizada",Registro!L10,0))</f>
        <v/>
      </c>
      <c r="I10" s="11" t="str">
        <f aca="false">IF(OR(Registro!A10="",N(G10)=0),"",H10/G10)</f>
        <v/>
      </c>
    </row>
    <row r="11" customFormat="false" ht="15" hidden="false" customHeight="false" outlineLevel="0" collapsed="false">
      <c r="A11" s="5" t="str">
        <f aca="false">IF(Registro!A11="","",Registro!A11)</f>
        <v/>
      </c>
      <c r="B11" s="5" t="str">
        <f aca="false">IF(Registro!A11="","",Registro!B11)</f>
        <v/>
      </c>
      <c r="C11" s="5" t="str">
        <f aca="false">IF(Registro!A11="","",Registro!C11)</f>
        <v/>
      </c>
      <c r="D11" s="5" t="str">
        <f aca="false">IF(Registro!A11="","",Registro!E11)</f>
        <v/>
      </c>
      <c r="E11" s="5" t="str">
        <f aca="false">IF(Registro!A11="","",Registro!G11)</f>
        <v/>
      </c>
      <c r="F11" s="5" t="str">
        <f aca="false">IF(Registro!A11="","",Registro!D11)</f>
        <v/>
      </c>
      <c r="G11" s="5" t="str">
        <f aca="false">IF(Registro!A11="","",Registro!T11)</f>
        <v/>
      </c>
      <c r="H11" s="5" t="str">
        <f aca="false">IF(Registro!A11="","",IF(Registro!D11="Realizada",Registro!L11,0))</f>
        <v/>
      </c>
      <c r="I11" s="11" t="str">
        <f aca="false">IF(OR(Registro!A11="",N(G11)=0),"",H11/G11)</f>
        <v/>
      </c>
    </row>
    <row r="12" customFormat="false" ht="15" hidden="false" customHeight="false" outlineLevel="0" collapsed="false">
      <c r="A12" s="5" t="str">
        <f aca="false">IF(Registro!A12="","",Registro!A12)</f>
        <v/>
      </c>
      <c r="B12" s="5" t="str">
        <f aca="false">IF(Registro!A12="","",Registro!B12)</f>
        <v/>
      </c>
      <c r="C12" s="5" t="str">
        <f aca="false">IF(Registro!A12="","",Registro!C12)</f>
        <v/>
      </c>
      <c r="D12" s="5" t="str">
        <f aca="false">IF(Registro!A12="","",Registro!E12)</f>
        <v/>
      </c>
      <c r="E12" s="5" t="str">
        <f aca="false">IF(Registro!A12="","",Registro!G12)</f>
        <v/>
      </c>
      <c r="F12" s="5" t="str">
        <f aca="false">IF(Registro!A12="","",Registro!D12)</f>
        <v/>
      </c>
      <c r="G12" s="5" t="str">
        <f aca="false">IF(Registro!A12="","",Registro!T12)</f>
        <v/>
      </c>
      <c r="H12" s="5" t="str">
        <f aca="false">IF(Registro!A12="","",IF(Registro!D12="Realizada",Registro!L12,0))</f>
        <v/>
      </c>
      <c r="I12" s="11" t="str">
        <f aca="false">IF(OR(Registro!A12="",N(G12)=0),"",H12/G12)</f>
        <v/>
      </c>
    </row>
    <row r="13" customFormat="false" ht="15" hidden="false" customHeight="false" outlineLevel="0" collapsed="false">
      <c r="A13" s="5" t="str">
        <f aca="false">IF(Registro!A13="","",Registro!A13)</f>
        <v/>
      </c>
      <c r="B13" s="5" t="str">
        <f aca="false">IF(Registro!A13="","",Registro!B13)</f>
        <v/>
      </c>
      <c r="C13" s="5" t="str">
        <f aca="false">IF(Registro!A13="","",Registro!C13)</f>
        <v/>
      </c>
      <c r="D13" s="5" t="str">
        <f aca="false">IF(Registro!A13="","",Registro!E13)</f>
        <v/>
      </c>
      <c r="E13" s="5" t="str">
        <f aca="false">IF(Registro!A13="","",Registro!G13)</f>
        <v/>
      </c>
      <c r="F13" s="5" t="str">
        <f aca="false">IF(Registro!A13="","",Registro!D13)</f>
        <v/>
      </c>
      <c r="G13" s="5" t="str">
        <f aca="false">IF(Registro!A13="","",Registro!T13)</f>
        <v/>
      </c>
      <c r="H13" s="5" t="str">
        <f aca="false">IF(Registro!A13="","",IF(Registro!D13="Realizada",Registro!L13,0))</f>
        <v/>
      </c>
      <c r="I13" s="11" t="str">
        <f aca="false">IF(OR(Registro!A13="",N(G13)=0),"",H13/G13)</f>
        <v/>
      </c>
    </row>
    <row r="14" customFormat="false" ht="15" hidden="false" customHeight="false" outlineLevel="0" collapsed="false">
      <c r="A14" s="5" t="str">
        <f aca="false">IF(Registro!A14="","",Registro!A14)</f>
        <v/>
      </c>
      <c r="B14" s="5" t="str">
        <f aca="false">IF(Registro!A14="","",Registro!B14)</f>
        <v/>
      </c>
      <c r="C14" s="5" t="str">
        <f aca="false">IF(Registro!A14="","",Registro!C14)</f>
        <v/>
      </c>
      <c r="D14" s="5" t="str">
        <f aca="false">IF(Registro!A14="","",Registro!E14)</f>
        <v/>
      </c>
      <c r="E14" s="5" t="str">
        <f aca="false">IF(Registro!A14="","",Registro!G14)</f>
        <v/>
      </c>
      <c r="F14" s="5" t="str">
        <f aca="false">IF(Registro!A14="","",Registro!D14)</f>
        <v/>
      </c>
      <c r="G14" s="5" t="str">
        <f aca="false">IF(Registro!A14="","",Registro!T14)</f>
        <v/>
      </c>
      <c r="H14" s="5" t="str">
        <f aca="false">IF(Registro!A14="","",IF(Registro!D14="Realizada",Registro!L14,0))</f>
        <v/>
      </c>
      <c r="I14" s="11" t="str">
        <f aca="false">IF(OR(Registro!A14="",N(G14)=0),"",H14/G14)</f>
        <v/>
      </c>
    </row>
    <row r="15" customFormat="false" ht="15" hidden="false" customHeight="false" outlineLevel="0" collapsed="false">
      <c r="A15" s="5" t="str">
        <f aca="false">IF(Registro!A15="","",Registro!A15)</f>
        <v/>
      </c>
      <c r="B15" s="5" t="str">
        <f aca="false">IF(Registro!A15="","",Registro!B15)</f>
        <v/>
      </c>
      <c r="C15" s="5" t="str">
        <f aca="false">IF(Registro!A15="","",Registro!C15)</f>
        <v/>
      </c>
      <c r="D15" s="5" t="str">
        <f aca="false">IF(Registro!A15="","",Registro!E15)</f>
        <v/>
      </c>
      <c r="E15" s="5" t="str">
        <f aca="false">IF(Registro!A15="","",Registro!G15)</f>
        <v/>
      </c>
      <c r="F15" s="5" t="str">
        <f aca="false">IF(Registro!A15="","",Registro!D15)</f>
        <v/>
      </c>
      <c r="G15" s="5" t="str">
        <f aca="false">IF(Registro!A15="","",Registro!T15)</f>
        <v/>
      </c>
      <c r="H15" s="5" t="str">
        <f aca="false">IF(Registro!A15="","",IF(Registro!D15="Realizada",Registro!L15,0))</f>
        <v/>
      </c>
      <c r="I15" s="11" t="str">
        <f aca="false">IF(OR(Registro!A15="",N(G15)=0),"",H15/G15)</f>
        <v/>
      </c>
    </row>
    <row r="16" customFormat="false" ht="15" hidden="false" customHeight="false" outlineLevel="0" collapsed="false">
      <c r="A16" s="5" t="str">
        <f aca="false">IF(Registro!A16="","",Registro!A16)</f>
        <v/>
      </c>
      <c r="B16" s="5" t="str">
        <f aca="false">IF(Registro!A16="","",Registro!B16)</f>
        <v/>
      </c>
      <c r="C16" s="5" t="str">
        <f aca="false">IF(Registro!A16="","",Registro!C16)</f>
        <v/>
      </c>
      <c r="D16" s="5" t="str">
        <f aca="false">IF(Registro!A16="","",Registro!E16)</f>
        <v/>
      </c>
      <c r="E16" s="5" t="str">
        <f aca="false">IF(Registro!A16="","",Registro!G16)</f>
        <v/>
      </c>
      <c r="F16" s="5" t="str">
        <f aca="false">IF(Registro!A16="","",Registro!D16)</f>
        <v/>
      </c>
      <c r="G16" s="5" t="str">
        <f aca="false">IF(Registro!A16="","",Registro!T16)</f>
        <v/>
      </c>
      <c r="H16" s="5" t="str">
        <f aca="false">IF(Registro!A16="","",IF(Registro!D16="Realizada",Registro!L16,0))</f>
        <v/>
      </c>
      <c r="I16" s="11" t="str">
        <f aca="false">IF(OR(Registro!A16="",N(G16)=0),"",H16/G16)</f>
        <v/>
      </c>
    </row>
    <row r="17" customFormat="false" ht="15" hidden="false" customHeight="false" outlineLevel="0" collapsed="false">
      <c r="A17" s="5" t="str">
        <f aca="false">IF(Registro!A17="","",Registro!A17)</f>
        <v/>
      </c>
      <c r="B17" s="5" t="str">
        <f aca="false">IF(Registro!A17="","",Registro!B17)</f>
        <v/>
      </c>
      <c r="C17" s="5" t="str">
        <f aca="false">IF(Registro!A17="","",Registro!C17)</f>
        <v/>
      </c>
      <c r="D17" s="5" t="str">
        <f aca="false">IF(Registro!A17="","",Registro!E17)</f>
        <v/>
      </c>
      <c r="E17" s="5" t="str">
        <f aca="false">IF(Registro!A17="","",Registro!G17)</f>
        <v/>
      </c>
      <c r="F17" s="5" t="str">
        <f aca="false">IF(Registro!A17="","",Registro!D17)</f>
        <v/>
      </c>
      <c r="G17" s="5" t="str">
        <f aca="false">IF(Registro!A17="","",Registro!T17)</f>
        <v/>
      </c>
      <c r="H17" s="5" t="str">
        <f aca="false">IF(Registro!A17="","",IF(Registro!D17="Realizada",Registro!L17,0))</f>
        <v/>
      </c>
      <c r="I17" s="11" t="str">
        <f aca="false">IF(OR(Registro!A17="",N(G17)=0),"",H17/G17)</f>
        <v/>
      </c>
    </row>
    <row r="18" customFormat="false" ht="15" hidden="false" customHeight="false" outlineLevel="0" collapsed="false">
      <c r="A18" s="5" t="str">
        <f aca="false">IF(Registro!A18="","",Registro!A18)</f>
        <v/>
      </c>
      <c r="B18" s="5" t="str">
        <f aca="false">IF(Registro!A18="","",Registro!B18)</f>
        <v/>
      </c>
      <c r="C18" s="5" t="str">
        <f aca="false">IF(Registro!A18="","",Registro!C18)</f>
        <v/>
      </c>
      <c r="D18" s="5" t="str">
        <f aca="false">IF(Registro!A18="","",Registro!E18)</f>
        <v/>
      </c>
      <c r="E18" s="5" t="str">
        <f aca="false">IF(Registro!A18="","",Registro!G18)</f>
        <v/>
      </c>
      <c r="F18" s="5" t="str">
        <f aca="false">IF(Registro!A18="","",Registro!D18)</f>
        <v/>
      </c>
      <c r="G18" s="5" t="str">
        <f aca="false">IF(Registro!A18="","",Registro!T18)</f>
        <v/>
      </c>
      <c r="H18" s="5" t="str">
        <f aca="false">IF(Registro!A18="","",IF(Registro!D18="Realizada",Registro!L18,0))</f>
        <v/>
      </c>
      <c r="I18" s="11" t="str">
        <f aca="false">IF(OR(Registro!A18="",N(G18)=0),"",H18/G18)</f>
        <v/>
      </c>
    </row>
    <row r="19" customFormat="false" ht="15" hidden="false" customHeight="false" outlineLevel="0" collapsed="false">
      <c r="A19" s="5" t="str">
        <f aca="false">IF(Registro!A19="","",Registro!A19)</f>
        <v/>
      </c>
      <c r="B19" s="5" t="str">
        <f aca="false">IF(Registro!A19="","",Registro!B19)</f>
        <v/>
      </c>
      <c r="C19" s="5" t="str">
        <f aca="false">IF(Registro!A19="","",Registro!C19)</f>
        <v/>
      </c>
      <c r="D19" s="5" t="str">
        <f aca="false">IF(Registro!A19="","",Registro!E19)</f>
        <v/>
      </c>
      <c r="E19" s="5" t="str">
        <f aca="false">IF(Registro!A19="","",Registro!G19)</f>
        <v/>
      </c>
      <c r="F19" s="5" t="str">
        <f aca="false">IF(Registro!A19="","",Registro!D19)</f>
        <v/>
      </c>
      <c r="G19" s="5" t="str">
        <f aca="false">IF(Registro!A19="","",Registro!T19)</f>
        <v/>
      </c>
      <c r="H19" s="5" t="str">
        <f aca="false">IF(Registro!A19="","",IF(Registro!D19="Realizada",Registro!L19,0))</f>
        <v/>
      </c>
      <c r="I19" s="11" t="str">
        <f aca="false">IF(OR(Registro!A19="",N(G19)=0),"",H19/G19)</f>
        <v/>
      </c>
    </row>
    <row r="20" customFormat="false" ht="15" hidden="false" customHeight="false" outlineLevel="0" collapsed="false">
      <c r="A20" s="5" t="str">
        <f aca="false">IF(Registro!A20="","",Registro!A20)</f>
        <v/>
      </c>
      <c r="B20" s="5" t="str">
        <f aca="false">IF(Registro!A20="","",Registro!B20)</f>
        <v/>
      </c>
      <c r="C20" s="5" t="str">
        <f aca="false">IF(Registro!A20="","",Registro!C20)</f>
        <v/>
      </c>
      <c r="D20" s="5" t="str">
        <f aca="false">IF(Registro!A20="","",Registro!E20)</f>
        <v/>
      </c>
      <c r="E20" s="5" t="str">
        <f aca="false">IF(Registro!A20="","",Registro!G20)</f>
        <v/>
      </c>
      <c r="F20" s="5" t="str">
        <f aca="false">IF(Registro!A20="","",Registro!D20)</f>
        <v/>
      </c>
      <c r="G20" s="5" t="str">
        <f aca="false">IF(Registro!A20="","",Registro!T20)</f>
        <v/>
      </c>
      <c r="H20" s="5" t="str">
        <f aca="false">IF(Registro!A20="","",IF(Registro!D20="Realizada",Registro!L20,0))</f>
        <v/>
      </c>
      <c r="I20" s="11" t="str">
        <f aca="false">IF(OR(Registro!A20="",N(G20)=0),"",H20/G20)</f>
        <v/>
      </c>
    </row>
    <row r="21" customFormat="false" ht="15" hidden="false" customHeight="false" outlineLevel="0" collapsed="false">
      <c r="A21" s="5" t="str">
        <f aca="false">IF(Registro!A21="","",Registro!A21)</f>
        <v/>
      </c>
      <c r="B21" s="5" t="str">
        <f aca="false">IF(Registro!A21="","",Registro!B21)</f>
        <v/>
      </c>
      <c r="C21" s="5" t="str">
        <f aca="false">IF(Registro!A21="","",Registro!C21)</f>
        <v/>
      </c>
      <c r="D21" s="5" t="str">
        <f aca="false">IF(Registro!A21="","",Registro!E21)</f>
        <v/>
      </c>
      <c r="E21" s="5" t="str">
        <f aca="false">IF(Registro!A21="","",Registro!G21)</f>
        <v/>
      </c>
      <c r="F21" s="5" t="str">
        <f aca="false">IF(Registro!A21="","",Registro!D21)</f>
        <v/>
      </c>
      <c r="G21" s="5" t="str">
        <f aca="false">IF(Registro!A21="","",Registro!T21)</f>
        <v/>
      </c>
      <c r="H21" s="5" t="str">
        <f aca="false">IF(Registro!A21="","",IF(Registro!D21="Realizada",Registro!L21,0))</f>
        <v/>
      </c>
      <c r="I21" s="11" t="str">
        <f aca="false">IF(OR(Registro!A21="",N(G21)=0),"",H21/G21)</f>
        <v/>
      </c>
    </row>
    <row r="22" customFormat="false" ht="15" hidden="false" customHeight="false" outlineLevel="0" collapsed="false">
      <c r="A22" s="5" t="str">
        <f aca="false">IF(Registro!A22="","",Registro!A22)</f>
        <v/>
      </c>
      <c r="B22" s="5" t="str">
        <f aca="false">IF(Registro!A22="","",Registro!B22)</f>
        <v/>
      </c>
      <c r="C22" s="5" t="str">
        <f aca="false">IF(Registro!A22="","",Registro!C22)</f>
        <v/>
      </c>
      <c r="D22" s="5" t="str">
        <f aca="false">IF(Registro!A22="","",Registro!E22)</f>
        <v/>
      </c>
      <c r="E22" s="5" t="str">
        <f aca="false">IF(Registro!A22="","",Registro!G22)</f>
        <v/>
      </c>
      <c r="F22" s="5" t="str">
        <f aca="false">IF(Registro!A22="","",Registro!D22)</f>
        <v/>
      </c>
      <c r="G22" s="5" t="str">
        <f aca="false">IF(Registro!A22="","",Registro!T22)</f>
        <v/>
      </c>
      <c r="H22" s="5" t="str">
        <f aca="false">IF(Registro!A22="","",IF(Registro!D22="Realizada",Registro!L22,0))</f>
        <v/>
      </c>
      <c r="I22" s="11" t="str">
        <f aca="false">IF(OR(Registro!A22="",N(G22)=0),"",H22/G22)</f>
        <v/>
      </c>
    </row>
    <row r="23" customFormat="false" ht="15" hidden="false" customHeight="false" outlineLevel="0" collapsed="false">
      <c r="A23" s="5" t="str">
        <f aca="false">IF(Registro!A23="","",Registro!A23)</f>
        <v/>
      </c>
      <c r="B23" s="5" t="str">
        <f aca="false">IF(Registro!A23="","",Registro!B23)</f>
        <v/>
      </c>
      <c r="C23" s="5" t="str">
        <f aca="false">IF(Registro!A23="","",Registro!C23)</f>
        <v/>
      </c>
      <c r="D23" s="5" t="str">
        <f aca="false">IF(Registro!A23="","",Registro!E23)</f>
        <v/>
      </c>
      <c r="E23" s="5" t="str">
        <f aca="false">IF(Registro!A23="","",Registro!G23)</f>
        <v/>
      </c>
      <c r="F23" s="5" t="str">
        <f aca="false">IF(Registro!A23="","",Registro!D23)</f>
        <v/>
      </c>
      <c r="G23" s="5" t="str">
        <f aca="false">IF(Registro!A23="","",Registro!T23)</f>
        <v/>
      </c>
      <c r="H23" s="5" t="str">
        <f aca="false">IF(Registro!A23="","",IF(Registro!D23="Realizada",Registro!L23,0))</f>
        <v/>
      </c>
      <c r="I23" s="11" t="str">
        <f aca="false">IF(OR(Registro!A23="",N(G23)=0),"",H23/G23)</f>
        <v/>
      </c>
    </row>
    <row r="24" customFormat="false" ht="15" hidden="false" customHeight="false" outlineLevel="0" collapsed="false">
      <c r="A24" s="5" t="str">
        <f aca="false">IF(Registro!A24="","",Registro!A24)</f>
        <v/>
      </c>
      <c r="B24" s="5" t="str">
        <f aca="false">IF(Registro!A24="","",Registro!B24)</f>
        <v/>
      </c>
      <c r="C24" s="5" t="str">
        <f aca="false">IF(Registro!A24="","",Registro!C24)</f>
        <v/>
      </c>
      <c r="D24" s="5" t="str">
        <f aca="false">IF(Registro!A24="","",Registro!E24)</f>
        <v/>
      </c>
      <c r="E24" s="5" t="str">
        <f aca="false">IF(Registro!A24="","",Registro!G24)</f>
        <v/>
      </c>
      <c r="F24" s="5" t="str">
        <f aca="false">IF(Registro!A24="","",Registro!D24)</f>
        <v/>
      </c>
      <c r="G24" s="5" t="str">
        <f aca="false">IF(Registro!A24="","",Registro!T24)</f>
        <v/>
      </c>
      <c r="H24" s="5" t="str">
        <f aca="false">IF(Registro!A24="","",IF(Registro!D24="Realizada",Registro!L24,0))</f>
        <v/>
      </c>
      <c r="I24" s="11" t="str">
        <f aca="false">IF(OR(Registro!A24="",N(G24)=0),"",H24/G24)</f>
        <v/>
      </c>
    </row>
    <row r="25" customFormat="false" ht="15" hidden="false" customHeight="false" outlineLevel="0" collapsed="false">
      <c r="A25" s="5" t="str">
        <f aca="false">IF(Registro!A25="","",Registro!A25)</f>
        <v/>
      </c>
      <c r="B25" s="5" t="str">
        <f aca="false">IF(Registro!A25="","",Registro!B25)</f>
        <v/>
      </c>
      <c r="C25" s="5" t="str">
        <f aca="false">IF(Registro!A25="","",Registro!C25)</f>
        <v/>
      </c>
      <c r="D25" s="5" t="str">
        <f aca="false">IF(Registro!A25="","",Registro!E25)</f>
        <v/>
      </c>
      <c r="E25" s="5" t="str">
        <f aca="false">IF(Registro!A25="","",Registro!G25)</f>
        <v/>
      </c>
      <c r="F25" s="5" t="str">
        <f aca="false">IF(Registro!A25="","",Registro!D25)</f>
        <v/>
      </c>
      <c r="G25" s="5" t="str">
        <f aca="false">IF(Registro!A25="","",Registro!T25)</f>
        <v/>
      </c>
      <c r="H25" s="5" t="str">
        <f aca="false">IF(Registro!A25="","",IF(Registro!D25="Realizada",Registro!L25,0))</f>
        <v/>
      </c>
      <c r="I25" s="11" t="str">
        <f aca="false">IF(OR(Registro!A25="",N(G25)=0),"",H25/G25)</f>
        <v/>
      </c>
    </row>
    <row r="26" customFormat="false" ht="15" hidden="false" customHeight="false" outlineLevel="0" collapsed="false">
      <c r="A26" s="5" t="str">
        <f aca="false">IF(Registro!A26="","",Registro!A26)</f>
        <v/>
      </c>
      <c r="B26" s="5" t="str">
        <f aca="false">IF(Registro!A26="","",Registro!B26)</f>
        <v/>
      </c>
      <c r="C26" s="5" t="str">
        <f aca="false">IF(Registro!A26="","",Registro!C26)</f>
        <v/>
      </c>
      <c r="D26" s="5" t="str">
        <f aca="false">IF(Registro!A26="","",Registro!E26)</f>
        <v/>
      </c>
      <c r="E26" s="5" t="str">
        <f aca="false">IF(Registro!A26="","",Registro!G26)</f>
        <v/>
      </c>
      <c r="F26" s="5" t="str">
        <f aca="false">IF(Registro!A26="","",Registro!D26)</f>
        <v/>
      </c>
      <c r="G26" s="5" t="str">
        <f aca="false">IF(Registro!A26="","",Registro!T26)</f>
        <v/>
      </c>
      <c r="H26" s="5" t="str">
        <f aca="false">IF(Registro!A26="","",IF(Registro!D26="Realizada",Registro!L26,0))</f>
        <v/>
      </c>
      <c r="I26" s="11" t="str">
        <f aca="false">IF(OR(Registro!A26="",N(G26)=0),"",H26/G26)</f>
        <v/>
      </c>
    </row>
    <row r="27" customFormat="false" ht="15" hidden="false" customHeight="false" outlineLevel="0" collapsed="false">
      <c r="A27" s="5" t="str">
        <f aca="false">IF(Registro!A27="","",Registro!A27)</f>
        <v/>
      </c>
      <c r="B27" s="5" t="str">
        <f aca="false">IF(Registro!A27="","",Registro!B27)</f>
        <v/>
      </c>
      <c r="C27" s="5" t="str">
        <f aca="false">IF(Registro!A27="","",Registro!C27)</f>
        <v/>
      </c>
      <c r="D27" s="5" t="str">
        <f aca="false">IF(Registro!A27="","",Registro!E27)</f>
        <v/>
      </c>
      <c r="E27" s="5" t="str">
        <f aca="false">IF(Registro!A27="","",Registro!G27)</f>
        <v/>
      </c>
      <c r="F27" s="5" t="str">
        <f aca="false">IF(Registro!A27="","",Registro!D27)</f>
        <v/>
      </c>
      <c r="G27" s="5" t="str">
        <f aca="false">IF(Registro!A27="","",Registro!T27)</f>
        <v/>
      </c>
      <c r="H27" s="5" t="str">
        <f aca="false">IF(Registro!A27="","",IF(Registro!D27="Realizada",Registro!L27,0))</f>
        <v/>
      </c>
      <c r="I27" s="11" t="str">
        <f aca="false">IF(OR(Registro!A27="",N(G27)=0),"",H27/G27)</f>
        <v/>
      </c>
    </row>
    <row r="28" customFormat="false" ht="15" hidden="false" customHeight="false" outlineLevel="0" collapsed="false">
      <c r="A28" s="5" t="str">
        <f aca="false">IF(Registro!A28="","",Registro!A28)</f>
        <v/>
      </c>
      <c r="B28" s="5" t="str">
        <f aca="false">IF(Registro!A28="","",Registro!B28)</f>
        <v/>
      </c>
      <c r="C28" s="5" t="str">
        <f aca="false">IF(Registro!A28="","",Registro!C28)</f>
        <v/>
      </c>
      <c r="D28" s="5" t="str">
        <f aca="false">IF(Registro!A28="","",Registro!E28)</f>
        <v/>
      </c>
      <c r="E28" s="5" t="str">
        <f aca="false">IF(Registro!A28="","",Registro!G28)</f>
        <v/>
      </c>
      <c r="F28" s="5" t="str">
        <f aca="false">IF(Registro!A28="","",Registro!D28)</f>
        <v/>
      </c>
      <c r="G28" s="5" t="str">
        <f aca="false">IF(Registro!A28="","",Registro!T28)</f>
        <v/>
      </c>
      <c r="H28" s="5" t="str">
        <f aca="false">IF(Registro!A28="","",IF(Registro!D28="Realizada",Registro!L28,0))</f>
        <v/>
      </c>
      <c r="I28" s="11" t="str">
        <f aca="false">IF(OR(Registro!A28="",N(G28)=0),"",H28/G28)</f>
        <v/>
      </c>
    </row>
    <row r="29" customFormat="false" ht="15" hidden="false" customHeight="false" outlineLevel="0" collapsed="false">
      <c r="A29" s="5" t="str">
        <f aca="false">IF(Registro!A29="","",Registro!A29)</f>
        <v/>
      </c>
      <c r="B29" s="5" t="str">
        <f aca="false">IF(Registro!A29="","",Registro!B29)</f>
        <v/>
      </c>
      <c r="C29" s="5" t="str">
        <f aca="false">IF(Registro!A29="","",Registro!C29)</f>
        <v/>
      </c>
      <c r="D29" s="5" t="str">
        <f aca="false">IF(Registro!A29="","",Registro!E29)</f>
        <v/>
      </c>
      <c r="E29" s="5" t="str">
        <f aca="false">IF(Registro!A29="","",Registro!G29)</f>
        <v/>
      </c>
      <c r="F29" s="5" t="str">
        <f aca="false">IF(Registro!A29="","",Registro!D29)</f>
        <v/>
      </c>
      <c r="G29" s="5" t="str">
        <f aca="false">IF(Registro!A29="","",Registro!T29)</f>
        <v/>
      </c>
      <c r="H29" s="5" t="str">
        <f aca="false">IF(Registro!A29="","",IF(Registro!D29="Realizada",Registro!L29,0))</f>
        <v/>
      </c>
      <c r="I29" s="11" t="str">
        <f aca="false">IF(OR(Registro!A29="",N(G29)=0),"",H29/G29)</f>
        <v/>
      </c>
    </row>
    <row r="30" customFormat="false" ht="15" hidden="false" customHeight="false" outlineLevel="0" collapsed="false">
      <c r="A30" s="5" t="str">
        <f aca="false">IF(Registro!A30="","",Registro!A30)</f>
        <v/>
      </c>
      <c r="B30" s="5" t="str">
        <f aca="false">IF(Registro!A30="","",Registro!B30)</f>
        <v/>
      </c>
      <c r="C30" s="5" t="str">
        <f aca="false">IF(Registro!A30="","",Registro!C30)</f>
        <v/>
      </c>
      <c r="D30" s="5" t="str">
        <f aca="false">IF(Registro!A30="","",Registro!E30)</f>
        <v/>
      </c>
      <c r="E30" s="5" t="str">
        <f aca="false">IF(Registro!A30="","",Registro!G30)</f>
        <v/>
      </c>
      <c r="F30" s="5" t="str">
        <f aca="false">IF(Registro!A30="","",Registro!D30)</f>
        <v/>
      </c>
      <c r="G30" s="5" t="str">
        <f aca="false">IF(Registro!A30="","",Registro!T30)</f>
        <v/>
      </c>
      <c r="H30" s="5" t="str">
        <f aca="false">IF(Registro!A30="","",IF(Registro!D30="Realizada",Registro!L30,0))</f>
        <v/>
      </c>
      <c r="I30" s="11" t="str">
        <f aca="false">IF(OR(Registro!A30="",N(G30)=0),"",H30/G30)</f>
        <v/>
      </c>
    </row>
    <row r="31" customFormat="false" ht="15" hidden="false" customHeight="false" outlineLevel="0" collapsed="false">
      <c r="A31" s="5" t="str">
        <f aca="false">IF(Registro!A31="","",Registro!A31)</f>
        <v/>
      </c>
      <c r="B31" s="5" t="str">
        <f aca="false">IF(Registro!A31="","",Registro!B31)</f>
        <v/>
      </c>
      <c r="C31" s="5" t="str">
        <f aca="false">IF(Registro!A31="","",Registro!C31)</f>
        <v/>
      </c>
      <c r="D31" s="5" t="str">
        <f aca="false">IF(Registro!A31="","",Registro!E31)</f>
        <v/>
      </c>
      <c r="E31" s="5" t="str">
        <f aca="false">IF(Registro!A31="","",Registro!G31)</f>
        <v/>
      </c>
      <c r="F31" s="5" t="str">
        <f aca="false">IF(Registro!A31="","",Registro!D31)</f>
        <v/>
      </c>
      <c r="G31" s="5" t="str">
        <f aca="false">IF(Registro!A31="","",Registro!T31)</f>
        <v/>
      </c>
      <c r="H31" s="5" t="str">
        <f aca="false">IF(Registro!A31="","",IF(Registro!D31="Realizada",Registro!L31,0))</f>
        <v/>
      </c>
      <c r="I31" s="11" t="str">
        <f aca="false">IF(OR(Registro!A31="",N(G31)=0),"",H31/G31)</f>
        <v/>
      </c>
    </row>
    <row r="32" customFormat="false" ht="15" hidden="false" customHeight="false" outlineLevel="0" collapsed="false">
      <c r="A32" s="5" t="str">
        <f aca="false">IF(Registro!A32="","",Registro!A32)</f>
        <v/>
      </c>
      <c r="B32" s="5" t="str">
        <f aca="false">IF(Registro!A32="","",Registro!B32)</f>
        <v/>
      </c>
      <c r="C32" s="5" t="str">
        <f aca="false">IF(Registro!A32="","",Registro!C32)</f>
        <v/>
      </c>
      <c r="D32" s="5" t="str">
        <f aca="false">IF(Registro!A32="","",Registro!E32)</f>
        <v/>
      </c>
      <c r="E32" s="5" t="str">
        <f aca="false">IF(Registro!A32="","",Registro!G32)</f>
        <v/>
      </c>
      <c r="F32" s="5" t="str">
        <f aca="false">IF(Registro!A32="","",Registro!D32)</f>
        <v/>
      </c>
      <c r="G32" s="5" t="str">
        <f aca="false">IF(Registro!A32="","",Registro!T32)</f>
        <v/>
      </c>
      <c r="H32" s="5" t="str">
        <f aca="false">IF(Registro!A32="","",IF(Registro!D32="Realizada",Registro!L32,0))</f>
        <v/>
      </c>
      <c r="I32" s="11" t="str">
        <f aca="false">IF(OR(Registro!A32="",N(G32)=0),"",H32/G32)</f>
        <v/>
      </c>
    </row>
    <row r="33" customFormat="false" ht="15" hidden="false" customHeight="false" outlineLevel="0" collapsed="false">
      <c r="A33" s="5" t="str">
        <f aca="false">IF(Registro!A33="","",Registro!A33)</f>
        <v/>
      </c>
      <c r="B33" s="5" t="str">
        <f aca="false">IF(Registro!A33="","",Registro!B33)</f>
        <v/>
      </c>
      <c r="C33" s="5" t="str">
        <f aca="false">IF(Registro!A33="","",Registro!C33)</f>
        <v/>
      </c>
      <c r="D33" s="5" t="str">
        <f aca="false">IF(Registro!A33="","",Registro!E33)</f>
        <v/>
      </c>
      <c r="E33" s="5" t="str">
        <f aca="false">IF(Registro!A33="","",Registro!G33)</f>
        <v/>
      </c>
      <c r="F33" s="5" t="str">
        <f aca="false">IF(Registro!A33="","",Registro!D33)</f>
        <v/>
      </c>
      <c r="G33" s="5" t="str">
        <f aca="false">IF(Registro!A33="","",Registro!T33)</f>
        <v/>
      </c>
      <c r="H33" s="5" t="str">
        <f aca="false">IF(Registro!A33="","",IF(Registro!D33="Realizada",Registro!L33,0))</f>
        <v/>
      </c>
      <c r="I33" s="11" t="str">
        <f aca="false">IF(OR(Registro!A33="",N(G33)=0),"",H33/G33)</f>
        <v/>
      </c>
    </row>
    <row r="34" customFormat="false" ht="15" hidden="false" customHeight="false" outlineLevel="0" collapsed="false">
      <c r="A34" s="5" t="str">
        <f aca="false">IF(Registro!A34="","",Registro!A34)</f>
        <v/>
      </c>
      <c r="B34" s="5" t="str">
        <f aca="false">IF(Registro!A34="","",Registro!B34)</f>
        <v/>
      </c>
      <c r="C34" s="5" t="str">
        <f aca="false">IF(Registro!A34="","",Registro!C34)</f>
        <v/>
      </c>
      <c r="D34" s="5" t="str">
        <f aca="false">IF(Registro!A34="","",Registro!E34)</f>
        <v/>
      </c>
      <c r="E34" s="5" t="str">
        <f aca="false">IF(Registro!A34="","",Registro!G34)</f>
        <v/>
      </c>
      <c r="F34" s="5" t="str">
        <f aca="false">IF(Registro!A34="","",Registro!D34)</f>
        <v/>
      </c>
      <c r="G34" s="5" t="str">
        <f aca="false">IF(Registro!A34="","",Registro!T34)</f>
        <v/>
      </c>
      <c r="H34" s="5" t="str">
        <f aca="false">IF(Registro!A34="","",IF(Registro!D34="Realizada",Registro!L34,0))</f>
        <v/>
      </c>
      <c r="I34" s="11" t="str">
        <f aca="false">IF(OR(Registro!A34="",N(G34)=0),"",H34/G34)</f>
        <v/>
      </c>
    </row>
    <row r="35" customFormat="false" ht="15" hidden="false" customHeight="false" outlineLevel="0" collapsed="false">
      <c r="A35" s="5" t="str">
        <f aca="false">IF(Registro!A35="","",Registro!A35)</f>
        <v/>
      </c>
      <c r="B35" s="5" t="str">
        <f aca="false">IF(Registro!A35="","",Registro!B35)</f>
        <v/>
      </c>
      <c r="C35" s="5" t="str">
        <f aca="false">IF(Registro!A35="","",Registro!C35)</f>
        <v/>
      </c>
      <c r="D35" s="5" t="str">
        <f aca="false">IF(Registro!A35="","",Registro!E35)</f>
        <v/>
      </c>
      <c r="E35" s="5" t="str">
        <f aca="false">IF(Registro!A35="","",Registro!G35)</f>
        <v/>
      </c>
      <c r="F35" s="5" t="str">
        <f aca="false">IF(Registro!A35="","",Registro!D35)</f>
        <v/>
      </c>
      <c r="G35" s="5" t="str">
        <f aca="false">IF(Registro!A35="","",Registro!T35)</f>
        <v/>
      </c>
      <c r="H35" s="5" t="str">
        <f aca="false">IF(Registro!A35="","",IF(Registro!D35="Realizada",Registro!L35,0))</f>
        <v/>
      </c>
      <c r="I35" s="11" t="str">
        <f aca="false">IF(OR(Registro!A35="",N(G35)=0),"",H35/G35)</f>
        <v/>
      </c>
    </row>
    <row r="36" customFormat="false" ht="15" hidden="false" customHeight="false" outlineLevel="0" collapsed="false">
      <c r="A36" s="5" t="str">
        <f aca="false">IF(Registro!A36="","",Registro!A36)</f>
        <v/>
      </c>
      <c r="B36" s="5" t="str">
        <f aca="false">IF(Registro!A36="","",Registro!B36)</f>
        <v/>
      </c>
      <c r="C36" s="5" t="str">
        <f aca="false">IF(Registro!A36="","",Registro!C36)</f>
        <v/>
      </c>
      <c r="D36" s="5" t="str">
        <f aca="false">IF(Registro!A36="","",Registro!E36)</f>
        <v/>
      </c>
      <c r="E36" s="5" t="str">
        <f aca="false">IF(Registro!A36="","",Registro!G36)</f>
        <v/>
      </c>
      <c r="F36" s="5" t="str">
        <f aca="false">IF(Registro!A36="","",Registro!D36)</f>
        <v/>
      </c>
      <c r="G36" s="5" t="str">
        <f aca="false">IF(Registro!A36="","",Registro!T36)</f>
        <v/>
      </c>
      <c r="H36" s="5" t="str">
        <f aca="false">IF(Registro!A36="","",IF(Registro!D36="Realizada",Registro!L36,0))</f>
        <v/>
      </c>
      <c r="I36" s="11" t="str">
        <f aca="false">IF(OR(Registro!A36="",N(G36)=0),"",H36/G36)</f>
        <v/>
      </c>
    </row>
    <row r="37" customFormat="false" ht="15" hidden="false" customHeight="false" outlineLevel="0" collapsed="false">
      <c r="A37" s="5" t="str">
        <f aca="false">IF(Registro!A37="","",Registro!A37)</f>
        <v/>
      </c>
      <c r="B37" s="5" t="str">
        <f aca="false">IF(Registro!A37="","",Registro!B37)</f>
        <v/>
      </c>
      <c r="C37" s="5" t="str">
        <f aca="false">IF(Registro!A37="","",Registro!C37)</f>
        <v/>
      </c>
      <c r="D37" s="5" t="str">
        <f aca="false">IF(Registro!A37="","",Registro!E37)</f>
        <v/>
      </c>
      <c r="E37" s="5" t="str">
        <f aca="false">IF(Registro!A37="","",Registro!G37)</f>
        <v/>
      </c>
      <c r="F37" s="5" t="str">
        <f aca="false">IF(Registro!A37="","",Registro!D37)</f>
        <v/>
      </c>
      <c r="G37" s="5" t="str">
        <f aca="false">IF(Registro!A37="","",Registro!T37)</f>
        <v/>
      </c>
      <c r="H37" s="5" t="str">
        <f aca="false">IF(Registro!A37="","",IF(Registro!D37="Realizada",Registro!L37,0))</f>
        <v/>
      </c>
      <c r="I37" s="11" t="str">
        <f aca="false">IF(OR(Registro!A37="",N(G37)=0),"",H37/G37)</f>
        <v/>
      </c>
    </row>
    <row r="38" customFormat="false" ht="15" hidden="false" customHeight="false" outlineLevel="0" collapsed="false">
      <c r="A38" s="5" t="str">
        <f aca="false">IF(Registro!A38="","",Registro!A38)</f>
        <v/>
      </c>
      <c r="B38" s="5" t="str">
        <f aca="false">IF(Registro!A38="","",Registro!B38)</f>
        <v/>
      </c>
      <c r="C38" s="5" t="str">
        <f aca="false">IF(Registro!A38="","",Registro!C38)</f>
        <v/>
      </c>
      <c r="D38" s="5" t="str">
        <f aca="false">IF(Registro!A38="","",Registro!E38)</f>
        <v/>
      </c>
      <c r="E38" s="5" t="str">
        <f aca="false">IF(Registro!A38="","",Registro!G38)</f>
        <v/>
      </c>
      <c r="F38" s="5" t="str">
        <f aca="false">IF(Registro!A38="","",Registro!D38)</f>
        <v/>
      </c>
      <c r="G38" s="5" t="str">
        <f aca="false">IF(Registro!A38="","",Registro!T38)</f>
        <v/>
      </c>
      <c r="H38" s="5" t="str">
        <f aca="false">IF(Registro!A38="","",IF(Registro!D38="Realizada",Registro!L38,0))</f>
        <v/>
      </c>
      <c r="I38" s="11" t="str">
        <f aca="false">IF(OR(Registro!A38="",N(G38)=0),"",H38/G38)</f>
        <v/>
      </c>
    </row>
    <row r="39" customFormat="false" ht="15" hidden="false" customHeight="false" outlineLevel="0" collapsed="false">
      <c r="A39" s="5" t="str">
        <f aca="false">IF(Registro!A39="","",Registro!A39)</f>
        <v/>
      </c>
      <c r="B39" s="5" t="str">
        <f aca="false">IF(Registro!A39="","",Registro!B39)</f>
        <v/>
      </c>
      <c r="C39" s="5" t="str">
        <f aca="false">IF(Registro!A39="","",Registro!C39)</f>
        <v/>
      </c>
      <c r="D39" s="5" t="str">
        <f aca="false">IF(Registro!A39="","",Registro!E39)</f>
        <v/>
      </c>
      <c r="E39" s="5" t="str">
        <f aca="false">IF(Registro!A39="","",Registro!G39)</f>
        <v/>
      </c>
      <c r="F39" s="5" t="str">
        <f aca="false">IF(Registro!A39="","",Registro!D39)</f>
        <v/>
      </c>
      <c r="G39" s="5" t="str">
        <f aca="false">IF(Registro!A39="","",Registro!T39)</f>
        <v/>
      </c>
      <c r="H39" s="5" t="str">
        <f aca="false">IF(Registro!A39="","",IF(Registro!D39="Realizada",Registro!L39,0))</f>
        <v/>
      </c>
      <c r="I39" s="11" t="str">
        <f aca="false">IF(OR(Registro!A39="",N(G39)=0),"",H39/G39)</f>
        <v/>
      </c>
    </row>
    <row r="40" customFormat="false" ht="15" hidden="false" customHeight="false" outlineLevel="0" collapsed="false">
      <c r="A40" s="5" t="str">
        <f aca="false">IF(Registro!A40="","",Registro!A40)</f>
        <v/>
      </c>
      <c r="B40" s="5" t="str">
        <f aca="false">IF(Registro!A40="","",Registro!B40)</f>
        <v/>
      </c>
      <c r="C40" s="5" t="str">
        <f aca="false">IF(Registro!A40="","",Registro!C40)</f>
        <v/>
      </c>
      <c r="D40" s="5" t="str">
        <f aca="false">IF(Registro!A40="","",Registro!E40)</f>
        <v/>
      </c>
      <c r="E40" s="5" t="str">
        <f aca="false">IF(Registro!A40="","",Registro!G40)</f>
        <v/>
      </c>
      <c r="F40" s="5" t="str">
        <f aca="false">IF(Registro!A40="","",Registro!D40)</f>
        <v/>
      </c>
      <c r="G40" s="5" t="str">
        <f aca="false">IF(Registro!A40="","",Registro!T40)</f>
        <v/>
      </c>
      <c r="H40" s="5" t="str">
        <f aca="false">IF(Registro!A40="","",IF(Registro!D40="Realizada",Registro!L40,0))</f>
        <v/>
      </c>
      <c r="I40" s="11" t="str">
        <f aca="false">IF(OR(Registro!A40="",N(G40)=0),"",H40/G40)</f>
        <v/>
      </c>
    </row>
    <row r="41" customFormat="false" ht="15" hidden="false" customHeight="false" outlineLevel="0" collapsed="false">
      <c r="A41" s="5" t="str">
        <f aca="false">IF(Registro!A41="","",Registro!A41)</f>
        <v/>
      </c>
      <c r="B41" s="5" t="str">
        <f aca="false">IF(Registro!A41="","",Registro!B41)</f>
        <v/>
      </c>
      <c r="C41" s="5" t="str">
        <f aca="false">IF(Registro!A41="","",Registro!C41)</f>
        <v/>
      </c>
      <c r="D41" s="5" t="str">
        <f aca="false">IF(Registro!A41="","",Registro!E41)</f>
        <v/>
      </c>
      <c r="E41" s="5" t="str">
        <f aca="false">IF(Registro!A41="","",Registro!G41)</f>
        <v/>
      </c>
      <c r="F41" s="5" t="str">
        <f aca="false">IF(Registro!A41="","",Registro!D41)</f>
        <v/>
      </c>
      <c r="G41" s="5" t="str">
        <f aca="false">IF(Registro!A41="","",Registro!T41)</f>
        <v/>
      </c>
      <c r="H41" s="5" t="str">
        <f aca="false">IF(Registro!A41="","",IF(Registro!D41="Realizada",Registro!L41,0))</f>
        <v/>
      </c>
      <c r="I41" s="11" t="str">
        <f aca="false">IF(OR(Registro!A41="",N(G41)=0),"",H41/G41)</f>
        <v/>
      </c>
    </row>
    <row r="42" customFormat="false" ht="15" hidden="false" customHeight="false" outlineLevel="0" collapsed="false">
      <c r="A42" s="5" t="str">
        <f aca="false">IF(Registro!A42="","",Registro!A42)</f>
        <v/>
      </c>
      <c r="B42" s="5" t="str">
        <f aca="false">IF(Registro!A42="","",Registro!B42)</f>
        <v/>
      </c>
      <c r="C42" s="5" t="str">
        <f aca="false">IF(Registro!A42="","",Registro!C42)</f>
        <v/>
      </c>
      <c r="D42" s="5" t="str">
        <f aca="false">IF(Registro!A42="","",Registro!E42)</f>
        <v/>
      </c>
      <c r="E42" s="5" t="str">
        <f aca="false">IF(Registro!A42="","",Registro!G42)</f>
        <v/>
      </c>
      <c r="F42" s="5" t="str">
        <f aca="false">IF(Registro!A42="","",Registro!D42)</f>
        <v/>
      </c>
      <c r="G42" s="5" t="str">
        <f aca="false">IF(Registro!A42="","",Registro!T42)</f>
        <v/>
      </c>
      <c r="H42" s="5" t="str">
        <f aca="false">IF(Registro!A42="","",IF(Registro!D42="Realizada",Registro!L42,0))</f>
        <v/>
      </c>
      <c r="I42" s="11" t="str">
        <f aca="false">IF(OR(Registro!A42="",N(G42)=0),"",H42/G42)</f>
        <v/>
      </c>
    </row>
    <row r="43" customFormat="false" ht="15" hidden="false" customHeight="false" outlineLevel="0" collapsed="false">
      <c r="A43" s="5" t="str">
        <f aca="false">IF(Registro!A43="","",Registro!A43)</f>
        <v/>
      </c>
      <c r="B43" s="5" t="str">
        <f aca="false">IF(Registro!A43="","",Registro!B43)</f>
        <v/>
      </c>
      <c r="C43" s="5" t="str">
        <f aca="false">IF(Registro!A43="","",Registro!C43)</f>
        <v/>
      </c>
      <c r="D43" s="5" t="str">
        <f aca="false">IF(Registro!A43="","",Registro!E43)</f>
        <v/>
      </c>
      <c r="E43" s="5" t="str">
        <f aca="false">IF(Registro!A43="","",Registro!G43)</f>
        <v/>
      </c>
      <c r="F43" s="5" t="str">
        <f aca="false">IF(Registro!A43="","",Registro!D43)</f>
        <v/>
      </c>
      <c r="G43" s="5" t="str">
        <f aca="false">IF(Registro!A43="","",Registro!T43)</f>
        <v/>
      </c>
      <c r="H43" s="5" t="str">
        <f aca="false">IF(Registro!A43="","",IF(Registro!D43="Realizada",Registro!L43,0))</f>
        <v/>
      </c>
      <c r="I43" s="11" t="str">
        <f aca="false">IF(OR(Registro!A43="",N(G43)=0),"",H43/G43)</f>
        <v/>
      </c>
    </row>
    <row r="44" customFormat="false" ht="15" hidden="false" customHeight="false" outlineLevel="0" collapsed="false">
      <c r="A44" s="5" t="str">
        <f aca="false">IF(Registro!A44="","",Registro!A44)</f>
        <v/>
      </c>
      <c r="B44" s="5" t="str">
        <f aca="false">IF(Registro!A44="","",Registro!B44)</f>
        <v/>
      </c>
      <c r="C44" s="5" t="str">
        <f aca="false">IF(Registro!A44="","",Registro!C44)</f>
        <v/>
      </c>
      <c r="D44" s="5" t="str">
        <f aca="false">IF(Registro!A44="","",Registro!E44)</f>
        <v/>
      </c>
      <c r="E44" s="5" t="str">
        <f aca="false">IF(Registro!A44="","",Registro!G44)</f>
        <v/>
      </c>
      <c r="F44" s="5" t="str">
        <f aca="false">IF(Registro!A44="","",Registro!D44)</f>
        <v/>
      </c>
      <c r="G44" s="5" t="str">
        <f aca="false">IF(Registro!A44="","",Registro!T44)</f>
        <v/>
      </c>
      <c r="H44" s="5" t="str">
        <f aca="false">IF(Registro!A44="","",IF(Registro!D44="Realizada",Registro!L44,0))</f>
        <v/>
      </c>
      <c r="I44" s="11" t="str">
        <f aca="false">IF(OR(Registro!A44="",N(G44)=0),"",H44/G44)</f>
        <v/>
      </c>
    </row>
    <row r="45" customFormat="false" ht="15" hidden="false" customHeight="false" outlineLevel="0" collapsed="false">
      <c r="A45" s="5" t="str">
        <f aca="false">IF(Registro!A45="","",Registro!A45)</f>
        <v/>
      </c>
      <c r="B45" s="5" t="str">
        <f aca="false">IF(Registro!A45="","",Registro!B45)</f>
        <v/>
      </c>
      <c r="C45" s="5" t="str">
        <f aca="false">IF(Registro!A45="","",Registro!C45)</f>
        <v/>
      </c>
      <c r="D45" s="5" t="str">
        <f aca="false">IF(Registro!A45="","",Registro!E45)</f>
        <v/>
      </c>
      <c r="E45" s="5" t="str">
        <f aca="false">IF(Registro!A45="","",Registro!G45)</f>
        <v/>
      </c>
      <c r="F45" s="5" t="str">
        <f aca="false">IF(Registro!A45="","",Registro!D45)</f>
        <v/>
      </c>
      <c r="G45" s="5" t="str">
        <f aca="false">IF(Registro!A45="","",Registro!T45)</f>
        <v/>
      </c>
      <c r="H45" s="5" t="str">
        <f aca="false">IF(Registro!A45="","",IF(Registro!D45="Realizada",Registro!L45,0))</f>
        <v/>
      </c>
      <c r="I45" s="11" t="str">
        <f aca="false">IF(OR(Registro!A45="",N(G45)=0),"",H45/G45)</f>
        <v/>
      </c>
    </row>
    <row r="46" customFormat="false" ht="15" hidden="false" customHeight="false" outlineLevel="0" collapsed="false">
      <c r="A46" s="5" t="str">
        <f aca="false">IF(Registro!A46="","",Registro!A46)</f>
        <v/>
      </c>
      <c r="B46" s="5" t="str">
        <f aca="false">IF(Registro!A46="","",Registro!B46)</f>
        <v/>
      </c>
      <c r="C46" s="5" t="str">
        <f aca="false">IF(Registro!A46="","",Registro!C46)</f>
        <v/>
      </c>
      <c r="D46" s="5" t="str">
        <f aca="false">IF(Registro!A46="","",Registro!E46)</f>
        <v/>
      </c>
      <c r="E46" s="5" t="str">
        <f aca="false">IF(Registro!A46="","",Registro!G46)</f>
        <v/>
      </c>
      <c r="F46" s="5" t="str">
        <f aca="false">IF(Registro!A46="","",Registro!D46)</f>
        <v/>
      </c>
      <c r="G46" s="5" t="str">
        <f aca="false">IF(Registro!A46="","",Registro!T46)</f>
        <v/>
      </c>
      <c r="H46" s="5" t="str">
        <f aca="false">IF(Registro!A46="","",IF(Registro!D46="Realizada",Registro!L46,0))</f>
        <v/>
      </c>
      <c r="I46" s="11" t="str">
        <f aca="false">IF(OR(Registro!A46="",N(G46)=0),"",H46/G46)</f>
        <v/>
      </c>
    </row>
    <row r="47" customFormat="false" ht="15" hidden="false" customHeight="false" outlineLevel="0" collapsed="false">
      <c r="A47" s="5" t="str">
        <f aca="false">IF(Registro!A47="","",Registro!A47)</f>
        <v/>
      </c>
      <c r="B47" s="5" t="str">
        <f aca="false">IF(Registro!A47="","",Registro!B47)</f>
        <v/>
      </c>
      <c r="C47" s="5" t="str">
        <f aca="false">IF(Registro!A47="","",Registro!C47)</f>
        <v/>
      </c>
      <c r="D47" s="5" t="str">
        <f aca="false">IF(Registro!A47="","",Registro!E47)</f>
        <v/>
      </c>
      <c r="E47" s="5" t="str">
        <f aca="false">IF(Registro!A47="","",Registro!G47)</f>
        <v/>
      </c>
      <c r="F47" s="5" t="str">
        <f aca="false">IF(Registro!A47="","",Registro!D47)</f>
        <v/>
      </c>
      <c r="G47" s="5" t="str">
        <f aca="false">IF(Registro!A47="","",Registro!T47)</f>
        <v/>
      </c>
      <c r="H47" s="5" t="str">
        <f aca="false">IF(Registro!A47="","",IF(Registro!D47="Realizada",Registro!L47,0))</f>
        <v/>
      </c>
      <c r="I47" s="11" t="str">
        <f aca="false">IF(OR(Registro!A47="",N(G47)=0),"",H47/G47)</f>
        <v/>
      </c>
    </row>
    <row r="48" customFormat="false" ht="15" hidden="false" customHeight="false" outlineLevel="0" collapsed="false">
      <c r="A48" s="5" t="str">
        <f aca="false">IF(Registro!A48="","",Registro!A48)</f>
        <v/>
      </c>
      <c r="B48" s="5" t="str">
        <f aca="false">IF(Registro!A48="","",Registro!B48)</f>
        <v/>
      </c>
      <c r="C48" s="5" t="str">
        <f aca="false">IF(Registro!A48="","",Registro!C48)</f>
        <v/>
      </c>
      <c r="D48" s="5" t="str">
        <f aca="false">IF(Registro!A48="","",Registro!E48)</f>
        <v/>
      </c>
      <c r="E48" s="5" t="str">
        <f aca="false">IF(Registro!A48="","",Registro!G48)</f>
        <v/>
      </c>
      <c r="F48" s="5" t="str">
        <f aca="false">IF(Registro!A48="","",Registro!D48)</f>
        <v/>
      </c>
      <c r="G48" s="5" t="str">
        <f aca="false">IF(Registro!A48="","",Registro!T48)</f>
        <v/>
      </c>
      <c r="H48" s="5" t="str">
        <f aca="false">IF(Registro!A48="","",IF(Registro!D48="Realizada",Registro!L48,0))</f>
        <v/>
      </c>
      <c r="I48" s="11" t="str">
        <f aca="false">IF(OR(Registro!A48="",N(G48)=0),"",H48/G48)</f>
        <v/>
      </c>
    </row>
    <row r="49" customFormat="false" ht="15" hidden="false" customHeight="false" outlineLevel="0" collapsed="false">
      <c r="A49" s="5" t="str">
        <f aca="false">IF(Registro!A49="","",Registro!A49)</f>
        <v/>
      </c>
      <c r="B49" s="5" t="str">
        <f aca="false">IF(Registro!A49="","",Registro!B49)</f>
        <v/>
      </c>
      <c r="C49" s="5" t="str">
        <f aca="false">IF(Registro!A49="","",Registro!C49)</f>
        <v/>
      </c>
      <c r="D49" s="5" t="str">
        <f aca="false">IF(Registro!A49="","",Registro!E49)</f>
        <v/>
      </c>
      <c r="E49" s="5" t="str">
        <f aca="false">IF(Registro!A49="","",Registro!G49)</f>
        <v/>
      </c>
      <c r="F49" s="5" t="str">
        <f aca="false">IF(Registro!A49="","",Registro!D49)</f>
        <v/>
      </c>
      <c r="G49" s="5" t="str">
        <f aca="false">IF(Registro!A49="","",Registro!T49)</f>
        <v/>
      </c>
      <c r="H49" s="5" t="str">
        <f aca="false">IF(Registro!A49="","",IF(Registro!D49="Realizada",Registro!L49,0))</f>
        <v/>
      </c>
      <c r="I49" s="11" t="str">
        <f aca="false">IF(OR(Registro!A49="",N(G49)=0),"",H49/G49)</f>
        <v/>
      </c>
    </row>
    <row r="50" customFormat="false" ht="15" hidden="false" customHeight="false" outlineLevel="0" collapsed="false">
      <c r="A50" s="5" t="str">
        <f aca="false">IF(Registro!A50="","",Registro!A50)</f>
        <v/>
      </c>
      <c r="B50" s="5" t="str">
        <f aca="false">IF(Registro!A50="","",Registro!B50)</f>
        <v/>
      </c>
      <c r="C50" s="5" t="str">
        <f aca="false">IF(Registro!A50="","",Registro!C50)</f>
        <v/>
      </c>
      <c r="D50" s="5" t="str">
        <f aca="false">IF(Registro!A50="","",Registro!E50)</f>
        <v/>
      </c>
      <c r="E50" s="5" t="str">
        <f aca="false">IF(Registro!A50="","",Registro!G50)</f>
        <v/>
      </c>
      <c r="F50" s="5" t="str">
        <f aca="false">IF(Registro!A50="","",Registro!D50)</f>
        <v/>
      </c>
      <c r="G50" s="5" t="str">
        <f aca="false">IF(Registro!A50="","",Registro!T50)</f>
        <v/>
      </c>
      <c r="H50" s="5" t="str">
        <f aca="false">IF(Registro!A50="","",IF(Registro!D50="Realizada",Registro!L50,0))</f>
        <v/>
      </c>
      <c r="I50" s="11" t="str">
        <f aca="false">IF(OR(Registro!A50="",N(G50)=0),"",H50/G50)</f>
        <v/>
      </c>
    </row>
    <row r="51" customFormat="false" ht="15" hidden="false" customHeight="false" outlineLevel="0" collapsed="false">
      <c r="A51" s="5" t="str">
        <f aca="false">IF(Registro!A51="","",Registro!A51)</f>
        <v/>
      </c>
      <c r="B51" s="5" t="str">
        <f aca="false">IF(Registro!A51="","",Registro!B51)</f>
        <v/>
      </c>
      <c r="C51" s="5" t="str">
        <f aca="false">IF(Registro!A51="","",Registro!C51)</f>
        <v/>
      </c>
      <c r="D51" s="5" t="str">
        <f aca="false">IF(Registro!A51="","",Registro!E51)</f>
        <v/>
      </c>
      <c r="E51" s="5" t="str">
        <f aca="false">IF(Registro!A51="","",Registro!G51)</f>
        <v/>
      </c>
      <c r="F51" s="5" t="str">
        <f aca="false">IF(Registro!A51="","",Registro!D51)</f>
        <v/>
      </c>
      <c r="G51" s="5" t="str">
        <f aca="false">IF(Registro!A51="","",Registro!T51)</f>
        <v/>
      </c>
      <c r="H51" s="5" t="str">
        <f aca="false">IF(Registro!A51="","",IF(Registro!D51="Realizada",Registro!L51,0))</f>
        <v/>
      </c>
      <c r="I51" s="11" t="str">
        <f aca="false">IF(OR(Registro!A51="",N(G51)=0),"",H51/G51)</f>
        <v/>
      </c>
    </row>
    <row r="52" customFormat="false" ht="15" hidden="false" customHeight="false" outlineLevel="0" collapsed="false">
      <c r="A52" s="5" t="str">
        <f aca="false">IF(Registro!A52="","",Registro!A52)</f>
        <v/>
      </c>
      <c r="B52" s="5" t="str">
        <f aca="false">IF(Registro!A52="","",Registro!B52)</f>
        <v/>
      </c>
      <c r="C52" s="5" t="str">
        <f aca="false">IF(Registro!A52="","",Registro!C52)</f>
        <v/>
      </c>
      <c r="D52" s="5" t="str">
        <f aca="false">IF(Registro!A52="","",Registro!E52)</f>
        <v/>
      </c>
      <c r="E52" s="5" t="str">
        <f aca="false">IF(Registro!A52="","",Registro!G52)</f>
        <v/>
      </c>
      <c r="F52" s="5" t="str">
        <f aca="false">IF(Registro!A52="","",Registro!D52)</f>
        <v/>
      </c>
      <c r="G52" s="5" t="str">
        <f aca="false">IF(Registro!A52="","",Registro!T52)</f>
        <v/>
      </c>
      <c r="H52" s="5" t="str">
        <f aca="false">IF(Registro!A52="","",IF(Registro!D52="Realizada",Registro!L52,0))</f>
        <v/>
      </c>
      <c r="I52" s="11" t="str">
        <f aca="false">IF(OR(Registro!A52="",N(G52)=0),"",H52/G52)</f>
        <v/>
      </c>
    </row>
    <row r="53" customFormat="false" ht="15" hidden="false" customHeight="false" outlineLevel="0" collapsed="false">
      <c r="A53" s="5" t="str">
        <f aca="false">IF(Registro!A53="","",Registro!A53)</f>
        <v/>
      </c>
      <c r="B53" s="5" t="str">
        <f aca="false">IF(Registro!A53="","",Registro!B53)</f>
        <v/>
      </c>
      <c r="C53" s="5" t="str">
        <f aca="false">IF(Registro!A53="","",Registro!C53)</f>
        <v/>
      </c>
      <c r="D53" s="5" t="str">
        <f aca="false">IF(Registro!A53="","",Registro!E53)</f>
        <v/>
      </c>
      <c r="E53" s="5" t="str">
        <f aca="false">IF(Registro!A53="","",Registro!G53)</f>
        <v/>
      </c>
      <c r="F53" s="5" t="str">
        <f aca="false">IF(Registro!A53="","",Registro!D53)</f>
        <v/>
      </c>
      <c r="G53" s="5" t="str">
        <f aca="false">IF(Registro!A53="","",Registro!T53)</f>
        <v/>
      </c>
      <c r="H53" s="5" t="str">
        <f aca="false">IF(Registro!A53="","",IF(Registro!D53="Realizada",Registro!L53,0))</f>
        <v/>
      </c>
      <c r="I53" s="11" t="str">
        <f aca="false">IF(OR(Registro!A53="",N(G53)=0),"",H53/G53)</f>
        <v/>
      </c>
    </row>
    <row r="54" customFormat="false" ht="15" hidden="false" customHeight="false" outlineLevel="0" collapsed="false">
      <c r="A54" s="5" t="str">
        <f aca="false">IF(Registro!A54="","",Registro!A54)</f>
        <v/>
      </c>
      <c r="B54" s="5" t="str">
        <f aca="false">IF(Registro!A54="","",Registro!B54)</f>
        <v/>
      </c>
      <c r="C54" s="5" t="str">
        <f aca="false">IF(Registro!A54="","",Registro!C54)</f>
        <v/>
      </c>
      <c r="D54" s="5" t="str">
        <f aca="false">IF(Registro!A54="","",Registro!E54)</f>
        <v/>
      </c>
      <c r="E54" s="5" t="str">
        <f aca="false">IF(Registro!A54="","",Registro!G54)</f>
        <v/>
      </c>
      <c r="F54" s="5" t="str">
        <f aca="false">IF(Registro!A54="","",Registro!D54)</f>
        <v/>
      </c>
      <c r="G54" s="5" t="str">
        <f aca="false">IF(Registro!A54="","",Registro!T54)</f>
        <v/>
      </c>
      <c r="H54" s="5" t="str">
        <f aca="false">IF(Registro!A54="","",IF(Registro!D54="Realizada",Registro!L54,0))</f>
        <v/>
      </c>
      <c r="I54" s="11" t="str">
        <f aca="false">IF(OR(Registro!A54="",N(G54)=0),"",H54/G54)</f>
        <v/>
      </c>
    </row>
    <row r="55" customFormat="false" ht="15" hidden="false" customHeight="false" outlineLevel="0" collapsed="false">
      <c r="A55" s="5" t="str">
        <f aca="false">IF(Registro!A55="","",Registro!A55)</f>
        <v/>
      </c>
      <c r="B55" s="5" t="str">
        <f aca="false">IF(Registro!A55="","",Registro!B55)</f>
        <v/>
      </c>
      <c r="C55" s="5" t="str">
        <f aca="false">IF(Registro!A55="","",Registro!C55)</f>
        <v/>
      </c>
      <c r="D55" s="5" t="str">
        <f aca="false">IF(Registro!A55="","",Registro!E55)</f>
        <v/>
      </c>
      <c r="E55" s="5" t="str">
        <f aca="false">IF(Registro!A55="","",Registro!G55)</f>
        <v/>
      </c>
      <c r="F55" s="5" t="str">
        <f aca="false">IF(Registro!A55="","",Registro!D55)</f>
        <v/>
      </c>
      <c r="G55" s="5" t="str">
        <f aca="false">IF(Registro!A55="","",Registro!T55)</f>
        <v/>
      </c>
      <c r="H55" s="5" t="str">
        <f aca="false">IF(Registro!A55="","",IF(Registro!D55="Realizada",Registro!L55,0))</f>
        <v/>
      </c>
      <c r="I55" s="11" t="str">
        <f aca="false">IF(OR(Registro!A55="",N(G55)=0),"",H55/G55)</f>
        <v/>
      </c>
    </row>
    <row r="56" customFormat="false" ht="15" hidden="false" customHeight="false" outlineLevel="0" collapsed="false">
      <c r="A56" s="5" t="str">
        <f aca="false">IF(Registro!A56="","",Registro!A56)</f>
        <v/>
      </c>
      <c r="B56" s="5" t="str">
        <f aca="false">IF(Registro!A56="","",Registro!B56)</f>
        <v/>
      </c>
      <c r="C56" s="5" t="str">
        <f aca="false">IF(Registro!A56="","",Registro!C56)</f>
        <v/>
      </c>
      <c r="D56" s="5" t="str">
        <f aca="false">IF(Registro!A56="","",Registro!E56)</f>
        <v/>
      </c>
      <c r="E56" s="5" t="str">
        <f aca="false">IF(Registro!A56="","",Registro!G56)</f>
        <v/>
      </c>
      <c r="F56" s="5" t="str">
        <f aca="false">IF(Registro!A56="","",Registro!D56)</f>
        <v/>
      </c>
      <c r="G56" s="5" t="str">
        <f aca="false">IF(Registro!A56="","",Registro!T56)</f>
        <v/>
      </c>
      <c r="H56" s="5" t="str">
        <f aca="false">IF(Registro!A56="","",IF(Registro!D56="Realizada",Registro!L56,0))</f>
        <v/>
      </c>
      <c r="I56" s="11" t="str">
        <f aca="false">IF(OR(Registro!A56="",N(G56)=0),"",H56/G56)</f>
        <v/>
      </c>
    </row>
    <row r="57" customFormat="false" ht="15" hidden="false" customHeight="false" outlineLevel="0" collapsed="false">
      <c r="A57" s="5" t="str">
        <f aca="false">IF(Registro!A57="","",Registro!A57)</f>
        <v/>
      </c>
      <c r="B57" s="5" t="str">
        <f aca="false">IF(Registro!A57="","",Registro!B57)</f>
        <v/>
      </c>
      <c r="C57" s="5" t="str">
        <f aca="false">IF(Registro!A57="","",Registro!C57)</f>
        <v/>
      </c>
      <c r="D57" s="5" t="str">
        <f aca="false">IF(Registro!A57="","",Registro!E57)</f>
        <v/>
      </c>
      <c r="E57" s="5" t="str">
        <f aca="false">IF(Registro!A57="","",Registro!G57)</f>
        <v/>
      </c>
      <c r="F57" s="5" t="str">
        <f aca="false">IF(Registro!A57="","",Registro!D57)</f>
        <v/>
      </c>
      <c r="G57" s="5" t="str">
        <f aca="false">IF(Registro!A57="","",Registro!T57)</f>
        <v/>
      </c>
      <c r="H57" s="5" t="str">
        <f aca="false">IF(Registro!A57="","",IF(Registro!D57="Realizada",Registro!L57,0))</f>
        <v/>
      </c>
      <c r="I57" s="11" t="str">
        <f aca="false">IF(OR(Registro!A57="",N(G57)=0),"",H57/G57)</f>
        <v/>
      </c>
    </row>
    <row r="58" customFormat="false" ht="15" hidden="false" customHeight="false" outlineLevel="0" collapsed="false">
      <c r="A58" s="5" t="str">
        <f aca="false">IF(Registro!A58="","",Registro!A58)</f>
        <v/>
      </c>
      <c r="B58" s="5" t="str">
        <f aca="false">IF(Registro!A58="","",Registro!B58)</f>
        <v/>
      </c>
      <c r="C58" s="5" t="str">
        <f aca="false">IF(Registro!A58="","",Registro!C58)</f>
        <v/>
      </c>
      <c r="D58" s="5" t="str">
        <f aca="false">IF(Registro!A58="","",Registro!E58)</f>
        <v/>
      </c>
      <c r="E58" s="5" t="str">
        <f aca="false">IF(Registro!A58="","",Registro!G58)</f>
        <v/>
      </c>
      <c r="F58" s="5" t="str">
        <f aca="false">IF(Registro!A58="","",Registro!D58)</f>
        <v/>
      </c>
      <c r="G58" s="5" t="str">
        <f aca="false">IF(Registro!A58="","",Registro!T58)</f>
        <v/>
      </c>
      <c r="H58" s="5" t="str">
        <f aca="false">IF(Registro!A58="","",IF(Registro!D58="Realizada",Registro!L58,0))</f>
        <v/>
      </c>
      <c r="I58" s="11" t="str">
        <f aca="false">IF(OR(Registro!A58="",N(G58)=0),"",H58/G58)</f>
        <v/>
      </c>
    </row>
    <row r="59" customFormat="false" ht="15" hidden="false" customHeight="false" outlineLevel="0" collapsed="false">
      <c r="A59" s="5" t="str">
        <f aca="false">IF(Registro!A59="","",Registro!A59)</f>
        <v/>
      </c>
      <c r="B59" s="5" t="str">
        <f aca="false">IF(Registro!A59="","",Registro!B59)</f>
        <v/>
      </c>
      <c r="C59" s="5" t="str">
        <f aca="false">IF(Registro!A59="","",Registro!C59)</f>
        <v/>
      </c>
      <c r="D59" s="5" t="str">
        <f aca="false">IF(Registro!A59="","",Registro!E59)</f>
        <v/>
      </c>
      <c r="E59" s="5" t="str">
        <f aca="false">IF(Registro!A59="","",Registro!G59)</f>
        <v/>
      </c>
      <c r="F59" s="5" t="str">
        <f aca="false">IF(Registro!A59="","",Registro!D59)</f>
        <v/>
      </c>
      <c r="G59" s="5" t="str">
        <f aca="false">IF(Registro!A59="","",Registro!T59)</f>
        <v/>
      </c>
      <c r="H59" s="5" t="str">
        <f aca="false">IF(Registro!A59="","",IF(Registro!D59="Realizada",Registro!L59,0))</f>
        <v/>
      </c>
      <c r="I59" s="11" t="str">
        <f aca="false">IF(OR(Registro!A59="",N(G59)=0),"",H59/G59)</f>
        <v/>
      </c>
    </row>
    <row r="60" customFormat="false" ht="15" hidden="false" customHeight="false" outlineLevel="0" collapsed="false">
      <c r="A60" s="5" t="str">
        <f aca="false">IF(Registro!A60="","",Registro!A60)</f>
        <v/>
      </c>
      <c r="B60" s="5" t="str">
        <f aca="false">IF(Registro!A60="","",Registro!B60)</f>
        <v/>
      </c>
      <c r="C60" s="5" t="str">
        <f aca="false">IF(Registro!A60="","",Registro!C60)</f>
        <v/>
      </c>
      <c r="D60" s="5" t="str">
        <f aca="false">IF(Registro!A60="","",Registro!E60)</f>
        <v/>
      </c>
      <c r="E60" s="5" t="str">
        <f aca="false">IF(Registro!A60="","",Registro!G60)</f>
        <v/>
      </c>
      <c r="F60" s="5" t="str">
        <f aca="false">IF(Registro!A60="","",Registro!D60)</f>
        <v/>
      </c>
      <c r="G60" s="5" t="str">
        <f aca="false">IF(Registro!A60="","",Registro!T60)</f>
        <v/>
      </c>
      <c r="H60" s="5" t="str">
        <f aca="false">IF(Registro!A60="","",IF(Registro!D60="Realizada",Registro!L60,0))</f>
        <v/>
      </c>
      <c r="I60" s="11" t="str">
        <f aca="false">IF(OR(Registro!A60="",N(G60)=0),"",H60/G60)</f>
        <v/>
      </c>
    </row>
    <row r="61" customFormat="false" ht="15" hidden="false" customHeight="false" outlineLevel="0" collapsed="false">
      <c r="A61" s="5" t="str">
        <f aca="false">IF(Registro!A61="","",Registro!A61)</f>
        <v/>
      </c>
      <c r="B61" s="5" t="str">
        <f aca="false">IF(Registro!A61="","",Registro!B61)</f>
        <v/>
      </c>
      <c r="C61" s="5" t="str">
        <f aca="false">IF(Registro!A61="","",Registro!C61)</f>
        <v/>
      </c>
      <c r="D61" s="5" t="str">
        <f aca="false">IF(Registro!A61="","",Registro!E61)</f>
        <v/>
      </c>
      <c r="E61" s="5" t="str">
        <f aca="false">IF(Registro!A61="","",Registro!G61)</f>
        <v/>
      </c>
      <c r="F61" s="5" t="str">
        <f aca="false">IF(Registro!A61="","",Registro!D61)</f>
        <v/>
      </c>
      <c r="G61" s="5" t="str">
        <f aca="false">IF(Registro!A61="","",Registro!T61)</f>
        <v/>
      </c>
      <c r="H61" s="5" t="str">
        <f aca="false">IF(Registro!A61="","",IF(Registro!D61="Realizada",Registro!L61,0))</f>
        <v/>
      </c>
      <c r="I61" s="11" t="str">
        <f aca="false">IF(OR(Registro!A61="",N(G61)=0),"",H61/G61)</f>
        <v/>
      </c>
    </row>
    <row r="62" customFormat="false" ht="15" hidden="false" customHeight="false" outlineLevel="0" collapsed="false">
      <c r="A62" s="5" t="str">
        <f aca="false">IF(Registro!A62="","",Registro!A62)</f>
        <v/>
      </c>
      <c r="B62" s="5" t="str">
        <f aca="false">IF(Registro!A62="","",Registro!B62)</f>
        <v/>
      </c>
      <c r="C62" s="5" t="str">
        <f aca="false">IF(Registro!A62="","",Registro!C62)</f>
        <v/>
      </c>
      <c r="D62" s="5" t="str">
        <f aca="false">IF(Registro!A62="","",Registro!E62)</f>
        <v/>
      </c>
      <c r="E62" s="5" t="str">
        <f aca="false">IF(Registro!A62="","",Registro!G62)</f>
        <v/>
      </c>
      <c r="F62" s="5" t="str">
        <f aca="false">IF(Registro!A62="","",Registro!D62)</f>
        <v/>
      </c>
      <c r="G62" s="5" t="str">
        <f aca="false">IF(Registro!A62="","",Registro!T62)</f>
        <v/>
      </c>
      <c r="H62" s="5" t="str">
        <f aca="false">IF(Registro!A62="","",IF(Registro!D62="Realizada",Registro!L62,0))</f>
        <v/>
      </c>
      <c r="I62" s="11" t="str">
        <f aca="false">IF(OR(Registro!A62="",N(G62)=0),"",H62/G62)</f>
        <v/>
      </c>
    </row>
    <row r="63" customFormat="false" ht="15" hidden="false" customHeight="false" outlineLevel="0" collapsed="false">
      <c r="A63" s="5" t="str">
        <f aca="false">IF(Registro!A63="","",Registro!A63)</f>
        <v/>
      </c>
      <c r="B63" s="5" t="str">
        <f aca="false">IF(Registro!A63="","",Registro!B63)</f>
        <v/>
      </c>
      <c r="C63" s="5" t="str">
        <f aca="false">IF(Registro!A63="","",Registro!C63)</f>
        <v/>
      </c>
      <c r="D63" s="5" t="str">
        <f aca="false">IF(Registro!A63="","",Registro!E63)</f>
        <v/>
      </c>
      <c r="E63" s="5" t="str">
        <f aca="false">IF(Registro!A63="","",Registro!G63)</f>
        <v/>
      </c>
      <c r="F63" s="5" t="str">
        <f aca="false">IF(Registro!A63="","",Registro!D63)</f>
        <v/>
      </c>
      <c r="G63" s="5" t="str">
        <f aca="false">IF(Registro!A63="","",Registro!T63)</f>
        <v/>
      </c>
      <c r="H63" s="5" t="str">
        <f aca="false">IF(Registro!A63="","",IF(Registro!D63="Realizada",Registro!L63,0))</f>
        <v/>
      </c>
      <c r="I63" s="11" t="str">
        <f aca="false">IF(OR(Registro!A63="",N(G63)=0),"",H63/G63)</f>
        <v/>
      </c>
    </row>
    <row r="64" customFormat="false" ht="15" hidden="false" customHeight="false" outlineLevel="0" collapsed="false">
      <c r="A64" s="5" t="str">
        <f aca="false">IF(Registro!A64="","",Registro!A64)</f>
        <v/>
      </c>
      <c r="B64" s="5" t="str">
        <f aca="false">IF(Registro!A64="","",Registro!B64)</f>
        <v/>
      </c>
      <c r="C64" s="5" t="str">
        <f aca="false">IF(Registro!A64="","",Registro!C64)</f>
        <v/>
      </c>
      <c r="D64" s="5" t="str">
        <f aca="false">IF(Registro!A64="","",Registro!E64)</f>
        <v/>
      </c>
      <c r="E64" s="5" t="str">
        <f aca="false">IF(Registro!A64="","",Registro!G64)</f>
        <v/>
      </c>
      <c r="F64" s="5" t="str">
        <f aca="false">IF(Registro!A64="","",Registro!D64)</f>
        <v/>
      </c>
      <c r="G64" s="5" t="str">
        <f aca="false">IF(Registro!A64="","",Registro!T64)</f>
        <v/>
      </c>
      <c r="H64" s="5" t="str">
        <f aca="false">IF(Registro!A64="","",IF(Registro!D64="Realizada",Registro!L64,0))</f>
        <v/>
      </c>
      <c r="I64" s="11" t="str">
        <f aca="false">IF(OR(Registro!A64="",N(G64)=0),"",H64/G64)</f>
        <v/>
      </c>
    </row>
    <row r="65" customFormat="false" ht="15" hidden="false" customHeight="false" outlineLevel="0" collapsed="false">
      <c r="A65" s="5" t="str">
        <f aca="false">IF(Registro!A65="","",Registro!A65)</f>
        <v/>
      </c>
      <c r="B65" s="5" t="str">
        <f aca="false">IF(Registro!A65="","",Registro!B65)</f>
        <v/>
      </c>
      <c r="C65" s="5" t="str">
        <f aca="false">IF(Registro!A65="","",Registro!C65)</f>
        <v/>
      </c>
      <c r="D65" s="5" t="str">
        <f aca="false">IF(Registro!A65="","",Registro!E65)</f>
        <v/>
      </c>
      <c r="E65" s="5" t="str">
        <f aca="false">IF(Registro!A65="","",Registro!G65)</f>
        <v/>
      </c>
      <c r="F65" s="5" t="str">
        <f aca="false">IF(Registro!A65="","",Registro!D65)</f>
        <v/>
      </c>
      <c r="G65" s="5" t="str">
        <f aca="false">IF(Registro!A65="","",Registro!T65)</f>
        <v/>
      </c>
      <c r="H65" s="5" t="str">
        <f aca="false">IF(Registro!A65="","",IF(Registro!D65="Realizada",Registro!L65,0))</f>
        <v/>
      </c>
      <c r="I65" s="11" t="str">
        <f aca="false">IF(OR(Registro!A65="",N(G65)=0),"",H65/G65)</f>
        <v/>
      </c>
    </row>
    <row r="66" customFormat="false" ht="15" hidden="false" customHeight="false" outlineLevel="0" collapsed="false">
      <c r="A66" s="5" t="str">
        <f aca="false">IF(Registro!A66="","",Registro!A66)</f>
        <v/>
      </c>
      <c r="B66" s="5" t="str">
        <f aca="false">IF(Registro!A66="","",Registro!B66)</f>
        <v/>
      </c>
      <c r="C66" s="5" t="str">
        <f aca="false">IF(Registro!A66="","",Registro!C66)</f>
        <v/>
      </c>
      <c r="D66" s="5" t="str">
        <f aca="false">IF(Registro!A66="","",Registro!E66)</f>
        <v/>
      </c>
      <c r="E66" s="5" t="str">
        <f aca="false">IF(Registro!A66="","",Registro!G66)</f>
        <v/>
      </c>
      <c r="F66" s="5" t="str">
        <f aca="false">IF(Registro!A66="","",Registro!D66)</f>
        <v/>
      </c>
      <c r="G66" s="5" t="str">
        <f aca="false">IF(Registro!A66="","",Registro!T66)</f>
        <v/>
      </c>
      <c r="H66" s="5" t="str">
        <f aca="false">IF(Registro!A66="","",IF(Registro!D66="Realizada",Registro!L66,0))</f>
        <v/>
      </c>
      <c r="I66" s="11" t="str">
        <f aca="false">IF(OR(Registro!A66="",N(G66)=0),"",H66/G66)</f>
        <v/>
      </c>
    </row>
    <row r="67" customFormat="false" ht="15" hidden="false" customHeight="false" outlineLevel="0" collapsed="false">
      <c r="A67" s="5" t="str">
        <f aca="false">IF(Registro!A67="","",Registro!A67)</f>
        <v/>
      </c>
      <c r="B67" s="5" t="str">
        <f aca="false">IF(Registro!A67="","",Registro!B67)</f>
        <v/>
      </c>
      <c r="C67" s="5" t="str">
        <f aca="false">IF(Registro!A67="","",Registro!C67)</f>
        <v/>
      </c>
      <c r="D67" s="5" t="str">
        <f aca="false">IF(Registro!A67="","",Registro!E67)</f>
        <v/>
      </c>
      <c r="E67" s="5" t="str">
        <f aca="false">IF(Registro!A67="","",Registro!G67)</f>
        <v/>
      </c>
      <c r="F67" s="5" t="str">
        <f aca="false">IF(Registro!A67="","",Registro!D67)</f>
        <v/>
      </c>
      <c r="G67" s="5" t="str">
        <f aca="false">IF(Registro!A67="","",Registro!T67)</f>
        <v/>
      </c>
      <c r="H67" s="5" t="str">
        <f aca="false">IF(Registro!A67="","",IF(Registro!D67="Realizada",Registro!L67,0))</f>
        <v/>
      </c>
      <c r="I67" s="11" t="str">
        <f aca="false">IF(OR(Registro!A67="",N(G67)=0),"",H67/G67)</f>
        <v/>
      </c>
    </row>
    <row r="68" customFormat="false" ht="15" hidden="false" customHeight="false" outlineLevel="0" collapsed="false">
      <c r="A68" s="5" t="str">
        <f aca="false">IF(Registro!A68="","",Registro!A68)</f>
        <v/>
      </c>
      <c r="B68" s="5" t="str">
        <f aca="false">IF(Registro!A68="","",Registro!B68)</f>
        <v/>
      </c>
      <c r="C68" s="5" t="str">
        <f aca="false">IF(Registro!A68="","",Registro!C68)</f>
        <v/>
      </c>
      <c r="D68" s="5" t="str">
        <f aca="false">IF(Registro!A68="","",Registro!E68)</f>
        <v/>
      </c>
      <c r="E68" s="5" t="str">
        <f aca="false">IF(Registro!A68="","",Registro!G68)</f>
        <v/>
      </c>
      <c r="F68" s="5" t="str">
        <f aca="false">IF(Registro!A68="","",Registro!D68)</f>
        <v/>
      </c>
      <c r="G68" s="5" t="str">
        <f aca="false">IF(Registro!A68="","",Registro!T68)</f>
        <v/>
      </c>
      <c r="H68" s="5" t="str">
        <f aca="false">IF(Registro!A68="","",IF(Registro!D68="Realizada",Registro!L68,0))</f>
        <v/>
      </c>
      <c r="I68" s="11" t="str">
        <f aca="false">IF(OR(Registro!A68="",N(G68)=0),"",H68/G68)</f>
        <v/>
      </c>
    </row>
    <row r="69" customFormat="false" ht="15" hidden="false" customHeight="false" outlineLevel="0" collapsed="false">
      <c r="A69" s="5" t="str">
        <f aca="false">IF(Registro!A69="","",Registro!A69)</f>
        <v/>
      </c>
      <c r="B69" s="5" t="str">
        <f aca="false">IF(Registro!A69="","",Registro!B69)</f>
        <v/>
      </c>
      <c r="C69" s="5" t="str">
        <f aca="false">IF(Registro!A69="","",Registro!C69)</f>
        <v/>
      </c>
      <c r="D69" s="5" t="str">
        <f aca="false">IF(Registro!A69="","",Registro!E69)</f>
        <v/>
      </c>
      <c r="E69" s="5" t="str">
        <f aca="false">IF(Registro!A69="","",Registro!G69)</f>
        <v/>
      </c>
      <c r="F69" s="5" t="str">
        <f aca="false">IF(Registro!A69="","",Registro!D69)</f>
        <v/>
      </c>
      <c r="G69" s="5" t="str">
        <f aca="false">IF(Registro!A69="","",Registro!T69)</f>
        <v/>
      </c>
      <c r="H69" s="5" t="str">
        <f aca="false">IF(Registro!A69="","",IF(Registro!D69="Realizada",Registro!L69,0))</f>
        <v/>
      </c>
      <c r="I69" s="11" t="str">
        <f aca="false">IF(OR(Registro!A69="",N(G69)=0),"",H69/G69)</f>
        <v/>
      </c>
    </row>
    <row r="70" customFormat="false" ht="15" hidden="false" customHeight="false" outlineLevel="0" collapsed="false">
      <c r="A70" s="5" t="str">
        <f aca="false">IF(Registro!A70="","",Registro!A70)</f>
        <v/>
      </c>
      <c r="B70" s="5" t="str">
        <f aca="false">IF(Registro!A70="","",Registro!B70)</f>
        <v/>
      </c>
      <c r="C70" s="5" t="str">
        <f aca="false">IF(Registro!A70="","",Registro!C70)</f>
        <v/>
      </c>
      <c r="D70" s="5" t="str">
        <f aca="false">IF(Registro!A70="","",Registro!E70)</f>
        <v/>
      </c>
      <c r="E70" s="5" t="str">
        <f aca="false">IF(Registro!A70="","",Registro!G70)</f>
        <v/>
      </c>
      <c r="F70" s="5" t="str">
        <f aca="false">IF(Registro!A70="","",Registro!D70)</f>
        <v/>
      </c>
      <c r="G70" s="5" t="str">
        <f aca="false">IF(Registro!A70="","",Registro!T70)</f>
        <v/>
      </c>
      <c r="H70" s="5" t="str">
        <f aca="false">IF(Registro!A70="","",IF(Registro!D70="Realizada",Registro!L70,0))</f>
        <v/>
      </c>
      <c r="I70" s="11" t="str">
        <f aca="false">IF(OR(Registro!A70="",N(G70)=0),"",H70/G70)</f>
        <v/>
      </c>
    </row>
    <row r="71" customFormat="false" ht="15" hidden="false" customHeight="false" outlineLevel="0" collapsed="false">
      <c r="A71" s="5" t="str">
        <f aca="false">IF(Registro!A71="","",Registro!A71)</f>
        <v/>
      </c>
      <c r="B71" s="5" t="str">
        <f aca="false">IF(Registro!A71="","",Registro!B71)</f>
        <v/>
      </c>
      <c r="C71" s="5" t="str">
        <f aca="false">IF(Registro!A71="","",Registro!C71)</f>
        <v/>
      </c>
      <c r="D71" s="5" t="str">
        <f aca="false">IF(Registro!A71="","",Registro!E71)</f>
        <v/>
      </c>
      <c r="E71" s="5" t="str">
        <f aca="false">IF(Registro!A71="","",Registro!G71)</f>
        <v/>
      </c>
      <c r="F71" s="5" t="str">
        <f aca="false">IF(Registro!A71="","",Registro!D71)</f>
        <v/>
      </c>
      <c r="G71" s="5" t="str">
        <f aca="false">IF(Registro!A71="","",Registro!T71)</f>
        <v/>
      </c>
      <c r="H71" s="5" t="str">
        <f aca="false">IF(Registro!A71="","",IF(Registro!D71="Realizada",Registro!L71,0))</f>
        <v/>
      </c>
      <c r="I71" s="11" t="str">
        <f aca="false">IF(OR(Registro!A71="",N(G71)=0),"",H71/G71)</f>
        <v/>
      </c>
    </row>
    <row r="72" customFormat="false" ht="15" hidden="false" customHeight="false" outlineLevel="0" collapsed="false">
      <c r="A72" s="5" t="str">
        <f aca="false">IF(Registro!A72="","",Registro!A72)</f>
        <v/>
      </c>
      <c r="B72" s="5" t="str">
        <f aca="false">IF(Registro!A72="","",Registro!B72)</f>
        <v/>
      </c>
      <c r="C72" s="5" t="str">
        <f aca="false">IF(Registro!A72="","",Registro!C72)</f>
        <v/>
      </c>
      <c r="D72" s="5" t="str">
        <f aca="false">IF(Registro!A72="","",Registro!E72)</f>
        <v/>
      </c>
      <c r="E72" s="5" t="str">
        <f aca="false">IF(Registro!A72="","",Registro!G72)</f>
        <v/>
      </c>
      <c r="F72" s="5" t="str">
        <f aca="false">IF(Registro!A72="","",Registro!D72)</f>
        <v/>
      </c>
      <c r="G72" s="5" t="str">
        <f aca="false">IF(Registro!A72="","",Registro!T72)</f>
        <v/>
      </c>
      <c r="H72" s="5" t="str">
        <f aca="false">IF(Registro!A72="","",IF(Registro!D72="Realizada",Registro!L72,0))</f>
        <v/>
      </c>
      <c r="I72" s="11" t="str">
        <f aca="false">IF(OR(Registro!A72="",N(G72)=0),"",H72/G72)</f>
        <v/>
      </c>
    </row>
    <row r="73" customFormat="false" ht="15" hidden="false" customHeight="false" outlineLevel="0" collapsed="false">
      <c r="A73" s="5" t="str">
        <f aca="false">IF(Registro!A73="","",Registro!A73)</f>
        <v/>
      </c>
      <c r="B73" s="5" t="str">
        <f aca="false">IF(Registro!A73="","",Registro!B73)</f>
        <v/>
      </c>
      <c r="C73" s="5" t="str">
        <f aca="false">IF(Registro!A73="","",Registro!C73)</f>
        <v/>
      </c>
      <c r="D73" s="5" t="str">
        <f aca="false">IF(Registro!A73="","",Registro!E73)</f>
        <v/>
      </c>
      <c r="E73" s="5" t="str">
        <f aca="false">IF(Registro!A73="","",Registro!G73)</f>
        <v/>
      </c>
      <c r="F73" s="5" t="str">
        <f aca="false">IF(Registro!A73="","",Registro!D73)</f>
        <v/>
      </c>
      <c r="G73" s="5" t="str">
        <f aca="false">IF(Registro!A73="","",Registro!T73)</f>
        <v/>
      </c>
      <c r="H73" s="5" t="str">
        <f aca="false">IF(Registro!A73="","",IF(Registro!D73="Realizada",Registro!L73,0))</f>
        <v/>
      </c>
      <c r="I73" s="11" t="str">
        <f aca="false">IF(OR(Registro!A73="",N(G73)=0),"",H73/G73)</f>
        <v/>
      </c>
    </row>
    <row r="74" customFormat="false" ht="15" hidden="false" customHeight="false" outlineLevel="0" collapsed="false">
      <c r="A74" s="5" t="str">
        <f aca="false">IF(Registro!A74="","",Registro!A74)</f>
        <v/>
      </c>
      <c r="B74" s="5" t="str">
        <f aca="false">IF(Registro!A74="","",Registro!B74)</f>
        <v/>
      </c>
      <c r="C74" s="5" t="str">
        <f aca="false">IF(Registro!A74="","",Registro!C74)</f>
        <v/>
      </c>
      <c r="D74" s="5" t="str">
        <f aca="false">IF(Registro!A74="","",Registro!E74)</f>
        <v/>
      </c>
      <c r="E74" s="5" t="str">
        <f aca="false">IF(Registro!A74="","",Registro!G74)</f>
        <v/>
      </c>
      <c r="F74" s="5" t="str">
        <f aca="false">IF(Registro!A74="","",Registro!D74)</f>
        <v/>
      </c>
      <c r="G74" s="5" t="str">
        <f aca="false">IF(Registro!A74="","",Registro!T74)</f>
        <v/>
      </c>
      <c r="H74" s="5" t="str">
        <f aca="false">IF(Registro!A74="","",IF(Registro!D74="Realizada",Registro!L74,0))</f>
        <v/>
      </c>
      <c r="I74" s="11" t="str">
        <f aca="false">IF(OR(Registro!A74="",N(G74)=0),"",H74/G74)</f>
        <v/>
      </c>
    </row>
    <row r="75" customFormat="false" ht="15" hidden="false" customHeight="false" outlineLevel="0" collapsed="false">
      <c r="A75" s="5" t="str">
        <f aca="false">IF(Registro!A75="","",Registro!A75)</f>
        <v/>
      </c>
      <c r="B75" s="5" t="str">
        <f aca="false">IF(Registro!A75="","",Registro!B75)</f>
        <v/>
      </c>
      <c r="C75" s="5" t="str">
        <f aca="false">IF(Registro!A75="","",Registro!C75)</f>
        <v/>
      </c>
      <c r="D75" s="5" t="str">
        <f aca="false">IF(Registro!A75="","",Registro!E75)</f>
        <v/>
      </c>
      <c r="E75" s="5" t="str">
        <f aca="false">IF(Registro!A75="","",Registro!G75)</f>
        <v/>
      </c>
      <c r="F75" s="5" t="str">
        <f aca="false">IF(Registro!A75="","",Registro!D75)</f>
        <v/>
      </c>
      <c r="G75" s="5" t="str">
        <f aca="false">IF(Registro!A75="","",Registro!T75)</f>
        <v/>
      </c>
      <c r="H75" s="5" t="str">
        <f aca="false">IF(Registro!A75="","",IF(Registro!D75="Realizada",Registro!L75,0))</f>
        <v/>
      </c>
      <c r="I75" s="11" t="str">
        <f aca="false">IF(OR(Registro!A75="",N(G75)=0),"",H75/G75)</f>
        <v/>
      </c>
    </row>
    <row r="76" customFormat="false" ht="15" hidden="false" customHeight="false" outlineLevel="0" collapsed="false">
      <c r="A76" s="5" t="str">
        <f aca="false">IF(Registro!A76="","",Registro!A76)</f>
        <v/>
      </c>
      <c r="B76" s="5" t="str">
        <f aca="false">IF(Registro!A76="","",Registro!B76)</f>
        <v/>
      </c>
      <c r="C76" s="5" t="str">
        <f aca="false">IF(Registro!A76="","",Registro!C76)</f>
        <v/>
      </c>
      <c r="D76" s="5" t="str">
        <f aca="false">IF(Registro!A76="","",Registro!E76)</f>
        <v/>
      </c>
      <c r="E76" s="5" t="str">
        <f aca="false">IF(Registro!A76="","",Registro!G76)</f>
        <v/>
      </c>
      <c r="F76" s="5" t="str">
        <f aca="false">IF(Registro!A76="","",Registro!D76)</f>
        <v/>
      </c>
      <c r="G76" s="5" t="str">
        <f aca="false">IF(Registro!A76="","",Registro!T76)</f>
        <v/>
      </c>
      <c r="H76" s="5" t="str">
        <f aca="false">IF(Registro!A76="","",IF(Registro!D76="Realizada",Registro!L76,0))</f>
        <v/>
      </c>
      <c r="I76" s="11" t="str">
        <f aca="false">IF(OR(Registro!A76="",N(G76)=0),"",H76/G76)</f>
        <v/>
      </c>
    </row>
    <row r="77" customFormat="false" ht="15" hidden="false" customHeight="false" outlineLevel="0" collapsed="false">
      <c r="A77" s="5" t="str">
        <f aca="false">IF(Registro!A77="","",Registro!A77)</f>
        <v/>
      </c>
      <c r="B77" s="5" t="str">
        <f aca="false">IF(Registro!A77="","",Registro!B77)</f>
        <v/>
      </c>
      <c r="C77" s="5" t="str">
        <f aca="false">IF(Registro!A77="","",Registro!C77)</f>
        <v/>
      </c>
      <c r="D77" s="5" t="str">
        <f aca="false">IF(Registro!A77="","",Registro!E77)</f>
        <v/>
      </c>
      <c r="E77" s="5" t="str">
        <f aca="false">IF(Registro!A77="","",Registro!G77)</f>
        <v/>
      </c>
      <c r="F77" s="5" t="str">
        <f aca="false">IF(Registro!A77="","",Registro!D77)</f>
        <v/>
      </c>
      <c r="G77" s="5" t="str">
        <f aca="false">IF(Registro!A77="","",Registro!T77)</f>
        <v/>
      </c>
      <c r="H77" s="5" t="str">
        <f aca="false">IF(Registro!A77="","",IF(Registro!D77="Realizada",Registro!L77,0))</f>
        <v/>
      </c>
      <c r="I77" s="11" t="str">
        <f aca="false">IF(OR(Registro!A77="",N(G77)=0),"",H77/G77)</f>
        <v/>
      </c>
    </row>
    <row r="78" customFormat="false" ht="15" hidden="false" customHeight="false" outlineLevel="0" collapsed="false">
      <c r="A78" s="5" t="str">
        <f aca="false">IF(Registro!A78="","",Registro!A78)</f>
        <v/>
      </c>
      <c r="B78" s="5" t="str">
        <f aca="false">IF(Registro!A78="","",Registro!B78)</f>
        <v/>
      </c>
      <c r="C78" s="5" t="str">
        <f aca="false">IF(Registro!A78="","",Registro!C78)</f>
        <v/>
      </c>
      <c r="D78" s="5" t="str">
        <f aca="false">IF(Registro!A78="","",Registro!E78)</f>
        <v/>
      </c>
      <c r="E78" s="5" t="str">
        <f aca="false">IF(Registro!A78="","",Registro!G78)</f>
        <v/>
      </c>
      <c r="F78" s="5" t="str">
        <f aca="false">IF(Registro!A78="","",Registro!D78)</f>
        <v/>
      </c>
      <c r="G78" s="5" t="str">
        <f aca="false">IF(Registro!A78="","",Registro!T78)</f>
        <v/>
      </c>
      <c r="H78" s="5" t="str">
        <f aca="false">IF(Registro!A78="","",IF(Registro!D78="Realizada",Registro!L78,0))</f>
        <v/>
      </c>
      <c r="I78" s="11" t="str">
        <f aca="false">IF(OR(Registro!A78="",N(G78)=0),"",H78/G78)</f>
        <v/>
      </c>
    </row>
    <row r="79" customFormat="false" ht="15" hidden="false" customHeight="false" outlineLevel="0" collapsed="false">
      <c r="A79" s="5" t="str">
        <f aca="false">IF(Registro!A79="","",Registro!A79)</f>
        <v/>
      </c>
      <c r="B79" s="5" t="str">
        <f aca="false">IF(Registro!A79="","",Registro!B79)</f>
        <v/>
      </c>
      <c r="C79" s="5" t="str">
        <f aca="false">IF(Registro!A79="","",Registro!C79)</f>
        <v/>
      </c>
      <c r="D79" s="5" t="str">
        <f aca="false">IF(Registro!A79="","",Registro!E79)</f>
        <v/>
      </c>
      <c r="E79" s="5" t="str">
        <f aca="false">IF(Registro!A79="","",Registro!G79)</f>
        <v/>
      </c>
      <c r="F79" s="5" t="str">
        <f aca="false">IF(Registro!A79="","",Registro!D79)</f>
        <v/>
      </c>
      <c r="G79" s="5" t="str">
        <f aca="false">IF(Registro!A79="","",Registro!T79)</f>
        <v/>
      </c>
      <c r="H79" s="5" t="str">
        <f aca="false">IF(Registro!A79="","",IF(Registro!D79="Realizada",Registro!L79,0))</f>
        <v/>
      </c>
      <c r="I79" s="11" t="str">
        <f aca="false">IF(OR(Registro!A79="",N(G79)=0),"",H79/G79)</f>
        <v/>
      </c>
    </row>
    <row r="80" customFormat="false" ht="15" hidden="false" customHeight="false" outlineLevel="0" collapsed="false">
      <c r="A80" s="5" t="str">
        <f aca="false">IF(Registro!A80="","",Registro!A80)</f>
        <v/>
      </c>
      <c r="B80" s="5" t="str">
        <f aca="false">IF(Registro!A80="","",Registro!B80)</f>
        <v/>
      </c>
      <c r="C80" s="5" t="str">
        <f aca="false">IF(Registro!A80="","",Registro!C80)</f>
        <v/>
      </c>
      <c r="D80" s="5" t="str">
        <f aca="false">IF(Registro!A80="","",Registro!E80)</f>
        <v/>
      </c>
      <c r="E80" s="5" t="str">
        <f aca="false">IF(Registro!A80="","",Registro!G80)</f>
        <v/>
      </c>
      <c r="F80" s="5" t="str">
        <f aca="false">IF(Registro!A80="","",Registro!D80)</f>
        <v/>
      </c>
      <c r="G80" s="5" t="str">
        <f aca="false">IF(Registro!A80="","",Registro!T80)</f>
        <v/>
      </c>
      <c r="H80" s="5" t="str">
        <f aca="false">IF(Registro!A80="","",IF(Registro!D80="Realizada",Registro!L80,0))</f>
        <v/>
      </c>
      <c r="I80" s="11" t="str">
        <f aca="false">IF(OR(Registro!A80="",N(G80)=0),"",H80/G80)</f>
        <v/>
      </c>
    </row>
    <row r="81" customFormat="false" ht="15" hidden="false" customHeight="false" outlineLevel="0" collapsed="false">
      <c r="A81" s="5" t="str">
        <f aca="false">IF(Registro!A81="","",Registro!A81)</f>
        <v/>
      </c>
      <c r="B81" s="5" t="str">
        <f aca="false">IF(Registro!A81="","",Registro!B81)</f>
        <v/>
      </c>
      <c r="C81" s="5" t="str">
        <f aca="false">IF(Registro!A81="","",Registro!C81)</f>
        <v/>
      </c>
      <c r="D81" s="5" t="str">
        <f aca="false">IF(Registro!A81="","",Registro!E81)</f>
        <v/>
      </c>
      <c r="E81" s="5" t="str">
        <f aca="false">IF(Registro!A81="","",Registro!G81)</f>
        <v/>
      </c>
      <c r="F81" s="5" t="str">
        <f aca="false">IF(Registro!A81="","",Registro!D81)</f>
        <v/>
      </c>
      <c r="G81" s="5" t="str">
        <f aca="false">IF(Registro!A81="","",Registro!T81)</f>
        <v/>
      </c>
      <c r="H81" s="5" t="str">
        <f aca="false">IF(Registro!A81="","",IF(Registro!D81="Realizada",Registro!L81,0))</f>
        <v/>
      </c>
      <c r="I81" s="11" t="str">
        <f aca="false">IF(OR(Registro!A81="",N(G81)=0),"",H81/G81)</f>
        <v/>
      </c>
    </row>
    <row r="82" customFormat="false" ht="15" hidden="false" customHeight="false" outlineLevel="0" collapsed="false">
      <c r="A82" s="5" t="str">
        <f aca="false">IF(Registro!A82="","",Registro!A82)</f>
        <v/>
      </c>
      <c r="B82" s="5" t="str">
        <f aca="false">IF(Registro!A82="","",Registro!B82)</f>
        <v/>
      </c>
      <c r="C82" s="5" t="str">
        <f aca="false">IF(Registro!A82="","",Registro!C82)</f>
        <v/>
      </c>
      <c r="D82" s="5" t="str">
        <f aca="false">IF(Registro!A82="","",Registro!E82)</f>
        <v/>
      </c>
      <c r="E82" s="5" t="str">
        <f aca="false">IF(Registro!A82="","",Registro!G82)</f>
        <v/>
      </c>
      <c r="F82" s="5" t="str">
        <f aca="false">IF(Registro!A82="","",Registro!D82)</f>
        <v/>
      </c>
      <c r="G82" s="5" t="str">
        <f aca="false">IF(Registro!A82="","",Registro!T82)</f>
        <v/>
      </c>
      <c r="H82" s="5" t="str">
        <f aca="false">IF(Registro!A82="","",IF(Registro!D82="Realizada",Registro!L82,0))</f>
        <v/>
      </c>
      <c r="I82" s="11" t="str">
        <f aca="false">IF(OR(Registro!A82="",N(G82)=0),"",H82/G82)</f>
        <v/>
      </c>
    </row>
    <row r="83" customFormat="false" ht="15" hidden="false" customHeight="false" outlineLevel="0" collapsed="false">
      <c r="A83" s="5" t="str">
        <f aca="false">IF(Registro!A83="","",Registro!A83)</f>
        <v/>
      </c>
      <c r="B83" s="5" t="str">
        <f aca="false">IF(Registro!A83="","",Registro!B83)</f>
        <v/>
      </c>
      <c r="C83" s="5" t="str">
        <f aca="false">IF(Registro!A83="","",Registro!C83)</f>
        <v/>
      </c>
      <c r="D83" s="5" t="str">
        <f aca="false">IF(Registro!A83="","",Registro!E83)</f>
        <v/>
      </c>
      <c r="E83" s="5" t="str">
        <f aca="false">IF(Registro!A83="","",Registro!G83)</f>
        <v/>
      </c>
      <c r="F83" s="5" t="str">
        <f aca="false">IF(Registro!A83="","",Registro!D83)</f>
        <v/>
      </c>
      <c r="G83" s="5" t="str">
        <f aca="false">IF(Registro!A83="","",Registro!T83)</f>
        <v/>
      </c>
      <c r="H83" s="5" t="str">
        <f aca="false">IF(Registro!A83="","",IF(Registro!D83="Realizada",Registro!L83,0))</f>
        <v/>
      </c>
      <c r="I83" s="11" t="str">
        <f aca="false">IF(OR(Registro!A83="",N(G83)=0),"",H83/G83)</f>
        <v/>
      </c>
    </row>
    <row r="84" customFormat="false" ht="15" hidden="false" customHeight="false" outlineLevel="0" collapsed="false">
      <c r="A84" s="5" t="str">
        <f aca="false">IF(Registro!A84="","",Registro!A84)</f>
        <v/>
      </c>
      <c r="B84" s="5" t="str">
        <f aca="false">IF(Registro!A84="","",Registro!B84)</f>
        <v/>
      </c>
      <c r="C84" s="5" t="str">
        <f aca="false">IF(Registro!A84="","",Registro!C84)</f>
        <v/>
      </c>
      <c r="D84" s="5" t="str">
        <f aca="false">IF(Registro!A84="","",Registro!E84)</f>
        <v/>
      </c>
      <c r="E84" s="5" t="str">
        <f aca="false">IF(Registro!A84="","",Registro!G84)</f>
        <v/>
      </c>
      <c r="F84" s="5" t="str">
        <f aca="false">IF(Registro!A84="","",Registro!D84)</f>
        <v/>
      </c>
      <c r="G84" s="5" t="str">
        <f aca="false">IF(Registro!A84="","",Registro!T84)</f>
        <v/>
      </c>
      <c r="H84" s="5" t="str">
        <f aca="false">IF(Registro!A84="","",IF(Registro!D84="Realizada",Registro!L84,0))</f>
        <v/>
      </c>
      <c r="I84" s="11" t="str">
        <f aca="false">IF(OR(Registro!A84="",N(G84)=0),"",H84/G84)</f>
        <v/>
      </c>
    </row>
    <row r="85" customFormat="false" ht="15" hidden="false" customHeight="false" outlineLevel="0" collapsed="false">
      <c r="A85" s="5" t="str">
        <f aca="false">IF(Registro!A85="","",Registro!A85)</f>
        <v/>
      </c>
      <c r="B85" s="5" t="str">
        <f aca="false">IF(Registro!A85="","",Registro!B85)</f>
        <v/>
      </c>
      <c r="C85" s="5" t="str">
        <f aca="false">IF(Registro!A85="","",Registro!C85)</f>
        <v/>
      </c>
      <c r="D85" s="5" t="str">
        <f aca="false">IF(Registro!A85="","",Registro!E85)</f>
        <v/>
      </c>
      <c r="E85" s="5" t="str">
        <f aca="false">IF(Registro!A85="","",Registro!G85)</f>
        <v/>
      </c>
      <c r="F85" s="5" t="str">
        <f aca="false">IF(Registro!A85="","",Registro!D85)</f>
        <v/>
      </c>
      <c r="G85" s="5" t="str">
        <f aca="false">IF(Registro!A85="","",Registro!T85)</f>
        <v/>
      </c>
      <c r="H85" s="5" t="str">
        <f aca="false">IF(Registro!A85="","",IF(Registro!D85="Realizada",Registro!L85,0))</f>
        <v/>
      </c>
      <c r="I85" s="11" t="str">
        <f aca="false">IF(OR(Registro!A85="",N(G85)=0),"",H85/G85)</f>
        <v/>
      </c>
    </row>
    <row r="86" customFormat="false" ht="15" hidden="false" customHeight="false" outlineLevel="0" collapsed="false">
      <c r="A86" s="5" t="str">
        <f aca="false">IF(Registro!A86="","",Registro!A86)</f>
        <v/>
      </c>
      <c r="B86" s="5" t="str">
        <f aca="false">IF(Registro!A86="","",Registro!B86)</f>
        <v/>
      </c>
      <c r="C86" s="5" t="str">
        <f aca="false">IF(Registro!A86="","",Registro!C86)</f>
        <v/>
      </c>
      <c r="D86" s="5" t="str">
        <f aca="false">IF(Registro!A86="","",Registro!E86)</f>
        <v/>
      </c>
      <c r="E86" s="5" t="str">
        <f aca="false">IF(Registro!A86="","",Registro!G86)</f>
        <v/>
      </c>
      <c r="F86" s="5" t="str">
        <f aca="false">IF(Registro!A86="","",Registro!D86)</f>
        <v/>
      </c>
      <c r="G86" s="5" t="str">
        <f aca="false">IF(Registro!A86="","",Registro!T86)</f>
        <v/>
      </c>
      <c r="H86" s="5" t="str">
        <f aca="false">IF(Registro!A86="","",IF(Registro!D86="Realizada",Registro!L86,0))</f>
        <v/>
      </c>
      <c r="I86" s="11" t="str">
        <f aca="false">IF(OR(Registro!A86="",N(G86)=0),"",H86/G86)</f>
        <v/>
      </c>
    </row>
    <row r="87" customFormat="false" ht="15" hidden="false" customHeight="false" outlineLevel="0" collapsed="false">
      <c r="A87" s="5" t="str">
        <f aca="false">IF(Registro!A87="","",Registro!A87)</f>
        <v/>
      </c>
      <c r="B87" s="5" t="str">
        <f aca="false">IF(Registro!A87="","",Registro!B87)</f>
        <v/>
      </c>
      <c r="C87" s="5" t="str">
        <f aca="false">IF(Registro!A87="","",Registro!C87)</f>
        <v/>
      </c>
      <c r="D87" s="5" t="str">
        <f aca="false">IF(Registro!A87="","",Registro!E87)</f>
        <v/>
      </c>
      <c r="E87" s="5" t="str">
        <f aca="false">IF(Registro!A87="","",Registro!G87)</f>
        <v/>
      </c>
      <c r="F87" s="5" t="str">
        <f aca="false">IF(Registro!A87="","",Registro!D87)</f>
        <v/>
      </c>
      <c r="G87" s="5" t="str">
        <f aca="false">IF(Registro!A87="","",Registro!T87)</f>
        <v/>
      </c>
      <c r="H87" s="5" t="str">
        <f aca="false">IF(Registro!A87="","",IF(Registro!D87="Realizada",Registro!L87,0))</f>
        <v/>
      </c>
      <c r="I87" s="11" t="str">
        <f aca="false">IF(OR(Registro!A87="",N(G87)=0),"",H87/G87)</f>
        <v/>
      </c>
    </row>
    <row r="88" customFormat="false" ht="15" hidden="false" customHeight="false" outlineLevel="0" collapsed="false">
      <c r="A88" s="5" t="str">
        <f aca="false">IF(Registro!A88="","",Registro!A88)</f>
        <v/>
      </c>
      <c r="B88" s="5" t="str">
        <f aca="false">IF(Registro!A88="","",Registro!B88)</f>
        <v/>
      </c>
      <c r="C88" s="5" t="str">
        <f aca="false">IF(Registro!A88="","",Registro!C88)</f>
        <v/>
      </c>
      <c r="D88" s="5" t="str">
        <f aca="false">IF(Registro!A88="","",Registro!E88)</f>
        <v/>
      </c>
      <c r="E88" s="5" t="str">
        <f aca="false">IF(Registro!A88="","",Registro!G88)</f>
        <v/>
      </c>
      <c r="F88" s="5" t="str">
        <f aca="false">IF(Registro!A88="","",Registro!D88)</f>
        <v/>
      </c>
      <c r="G88" s="5" t="str">
        <f aca="false">IF(Registro!A88="","",Registro!T88)</f>
        <v/>
      </c>
      <c r="H88" s="5" t="str">
        <f aca="false">IF(Registro!A88="","",IF(Registro!D88="Realizada",Registro!L88,0))</f>
        <v/>
      </c>
      <c r="I88" s="11" t="str">
        <f aca="false">IF(OR(Registro!A88="",N(G88)=0),"",H88/G88)</f>
        <v/>
      </c>
    </row>
    <row r="89" customFormat="false" ht="15" hidden="false" customHeight="false" outlineLevel="0" collapsed="false">
      <c r="A89" s="5" t="str">
        <f aca="false">IF(Registro!A89="","",Registro!A89)</f>
        <v/>
      </c>
      <c r="B89" s="5" t="str">
        <f aca="false">IF(Registro!A89="","",Registro!B89)</f>
        <v/>
      </c>
      <c r="C89" s="5" t="str">
        <f aca="false">IF(Registro!A89="","",Registro!C89)</f>
        <v/>
      </c>
      <c r="D89" s="5" t="str">
        <f aca="false">IF(Registro!A89="","",Registro!E89)</f>
        <v/>
      </c>
      <c r="E89" s="5" t="str">
        <f aca="false">IF(Registro!A89="","",Registro!G89)</f>
        <v/>
      </c>
      <c r="F89" s="5" t="str">
        <f aca="false">IF(Registro!A89="","",Registro!D89)</f>
        <v/>
      </c>
      <c r="G89" s="5" t="str">
        <f aca="false">IF(Registro!A89="","",Registro!T89)</f>
        <v/>
      </c>
      <c r="H89" s="5" t="str">
        <f aca="false">IF(Registro!A89="","",IF(Registro!D89="Realizada",Registro!L89,0))</f>
        <v/>
      </c>
      <c r="I89" s="11" t="str">
        <f aca="false">IF(OR(Registro!A89="",N(G89)=0),"",H89/G89)</f>
        <v/>
      </c>
    </row>
    <row r="90" customFormat="false" ht="15" hidden="false" customHeight="false" outlineLevel="0" collapsed="false">
      <c r="A90" s="5" t="str">
        <f aca="false">IF(Registro!A90="","",Registro!A90)</f>
        <v/>
      </c>
      <c r="B90" s="5" t="str">
        <f aca="false">IF(Registro!A90="","",Registro!B90)</f>
        <v/>
      </c>
      <c r="C90" s="5" t="str">
        <f aca="false">IF(Registro!A90="","",Registro!C90)</f>
        <v/>
      </c>
      <c r="D90" s="5" t="str">
        <f aca="false">IF(Registro!A90="","",Registro!E90)</f>
        <v/>
      </c>
      <c r="E90" s="5" t="str">
        <f aca="false">IF(Registro!A90="","",Registro!G90)</f>
        <v/>
      </c>
      <c r="F90" s="5" t="str">
        <f aca="false">IF(Registro!A90="","",Registro!D90)</f>
        <v/>
      </c>
      <c r="G90" s="5" t="str">
        <f aca="false">IF(Registro!A90="","",Registro!T90)</f>
        <v/>
      </c>
      <c r="H90" s="5" t="str">
        <f aca="false">IF(Registro!A90="","",IF(Registro!D90="Realizada",Registro!L90,0))</f>
        <v/>
      </c>
      <c r="I90" s="11" t="str">
        <f aca="false">IF(OR(Registro!A90="",N(G90)=0),"",H90/G90)</f>
        <v/>
      </c>
    </row>
    <row r="91" customFormat="false" ht="15" hidden="false" customHeight="false" outlineLevel="0" collapsed="false">
      <c r="A91" s="5" t="str">
        <f aca="false">IF(Registro!A91="","",Registro!A91)</f>
        <v/>
      </c>
      <c r="B91" s="5" t="str">
        <f aca="false">IF(Registro!A91="","",Registro!B91)</f>
        <v/>
      </c>
      <c r="C91" s="5" t="str">
        <f aca="false">IF(Registro!A91="","",Registro!C91)</f>
        <v/>
      </c>
      <c r="D91" s="5" t="str">
        <f aca="false">IF(Registro!A91="","",Registro!E91)</f>
        <v/>
      </c>
      <c r="E91" s="5" t="str">
        <f aca="false">IF(Registro!A91="","",Registro!G91)</f>
        <v/>
      </c>
      <c r="F91" s="5" t="str">
        <f aca="false">IF(Registro!A91="","",Registro!D91)</f>
        <v/>
      </c>
      <c r="G91" s="5" t="str">
        <f aca="false">IF(Registro!A91="","",Registro!T91)</f>
        <v/>
      </c>
      <c r="H91" s="5" t="str">
        <f aca="false">IF(Registro!A91="","",IF(Registro!D91="Realizada",Registro!L91,0))</f>
        <v/>
      </c>
      <c r="I91" s="11" t="str">
        <f aca="false">IF(OR(Registro!A91="",N(G91)=0),"",H91/G91)</f>
        <v/>
      </c>
    </row>
    <row r="92" customFormat="false" ht="15" hidden="false" customHeight="false" outlineLevel="0" collapsed="false">
      <c r="A92" s="5" t="str">
        <f aca="false">IF(Registro!A92="","",Registro!A92)</f>
        <v/>
      </c>
      <c r="B92" s="5" t="str">
        <f aca="false">IF(Registro!A92="","",Registro!B92)</f>
        <v/>
      </c>
      <c r="C92" s="5" t="str">
        <f aca="false">IF(Registro!A92="","",Registro!C92)</f>
        <v/>
      </c>
      <c r="D92" s="5" t="str">
        <f aca="false">IF(Registro!A92="","",Registro!E92)</f>
        <v/>
      </c>
      <c r="E92" s="5" t="str">
        <f aca="false">IF(Registro!A92="","",Registro!G92)</f>
        <v/>
      </c>
      <c r="F92" s="5" t="str">
        <f aca="false">IF(Registro!A92="","",Registro!D92)</f>
        <v/>
      </c>
      <c r="G92" s="5" t="str">
        <f aca="false">IF(Registro!A92="","",Registro!T92)</f>
        <v/>
      </c>
      <c r="H92" s="5" t="str">
        <f aca="false">IF(Registro!A92="","",IF(Registro!D92="Realizada",Registro!L92,0))</f>
        <v/>
      </c>
      <c r="I92" s="11" t="str">
        <f aca="false">IF(OR(Registro!A92="",N(G92)=0),"",H92/G92)</f>
        <v/>
      </c>
    </row>
    <row r="93" customFormat="false" ht="15" hidden="false" customHeight="false" outlineLevel="0" collapsed="false">
      <c r="A93" s="5" t="str">
        <f aca="false">IF(Registro!A93="","",Registro!A93)</f>
        <v/>
      </c>
      <c r="B93" s="5" t="str">
        <f aca="false">IF(Registro!A93="","",Registro!B93)</f>
        <v/>
      </c>
      <c r="C93" s="5" t="str">
        <f aca="false">IF(Registro!A93="","",Registro!C93)</f>
        <v/>
      </c>
      <c r="D93" s="5" t="str">
        <f aca="false">IF(Registro!A93="","",Registro!E93)</f>
        <v/>
      </c>
      <c r="E93" s="5" t="str">
        <f aca="false">IF(Registro!A93="","",Registro!G93)</f>
        <v/>
      </c>
      <c r="F93" s="5" t="str">
        <f aca="false">IF(Registro!A93="","",Registro!D93)</f>
        <v/>
      </c>
      <c r="G93" s="5" t="str">
        <f aca="false">IF(Registro!A93="","",Registro!T93)</f>
        <v/>
      </c>
      <c r="H93" s="5" t="str">
        <f aca="false">IF(Registro!A93="","",IF(Registro!D93="Realizada",Registro!L93,0))</f>
        <v/>
      </c>
      <c r="I93" s="11" t="str">
        <f aca="false">IF(OR(Registro!A93="",N(G93)=0),"",H93/G93)</f>
        <v/>
      </c>
    </row>
    <row r="94" customFormat="false" ht="15" hidden="false" customHeight="false" outlineLevel="0" collapsed="false">
      <c r="A94" s="5" t="str">
        <f aca="false">IF(Registro!A94="","",Registro!A94)</f>
        <v/>
      </c>
      <c r="B94" s="5" t="str">
        <f aca="false">IF(Registro!A94="","",Registro!B94)</f>
        <v/>
      </c>
      <c r="C94" s="5" t="str">
        <f aca="false">IF(Registro!A94="","",Registro!C94)</f>
        <v/>
      </c>
      <c r="D94" s="5" t="str">
        <f aca="false">IF(Registro!A94="","",Registro!E94)</f>
        <v/>
      </c>
      <c r="E94" s="5" t="str">
        <f aca="false">IF(Registro!A94="","",Registro!G94)</f>
        <v/>
      </c>
      <c r="F94" s="5" t="str">
        <f aca="false">IF(Registro!A94="","",Registro!D94)</f>
        <v/>
      </c>
      <c r="G94" s="5" t="str">
        <f aca="false">IF(Registro!A94="","",Registro!T94)</f>
        <v/>
      </c>
      <c r="H94" s="5" t="str">
        <f aca="false">IF(Registro!A94="","",IF(Registro!D94="Realizada",Registro!L94,0))</f>
        <v/>
      </c>
      <c r="I94" s="11" t="str">
        <f aca="false">IF(OR(Registro!A94="",N(G94)=0),"",H94/G94)</f>
        <v/>
      </c>
    </row>
    <row r="95" customFormat="false" ht="15" hidden="false" customHeight="false" outlineLevel="0" collapsed="false">
      <c r="A95" s="5" t="str">
        <f aca="false">IF(Registro!A95="","",Registro!A95)</f>
        <v/>
      </c>
      <c r="B95" s="5" t="str">
        <f aca="false">IF(Registro!A95="","",Registro!B95)</f>
        <v/>
      </c>
      <c r="C95" s="5" t="str">
        <f aca="false">IF(Registro!A95="","",Registro!C95)</f>
        <v/>
      </c>
      <c r="D95" s="5" t="str">
        <f aca="false">IF(Registro!A95="","",Registro!E95)</f>
        <v/>
      </c>
      <c r="E95" s="5" t="str">
        <f aca="false">IF(Registro!A95="","",Registro!G95)</f>
        <v/>
      </c>
      <c r="F95" s="5" t="str">
        <f aca="false">IF(Registro!A95="","",Registro!D95)</f>
        <v/>
      </c>
      <c r="G95" s="5" t="str">
        <f aca="false">IF(Registro!A95="","",Registro!T95)</f>
        <v/>
      </c>
      <c r="H95" s="5" t="str">
        <f aca="false">IF(Registro!A95="","",IF(Registro!D95="Realizada",Registro!L95,0))</f>
        <v/>
      </c>
      <c r="I95" s="11" t="str">
        <f aca="false">IF(OR(Registro!A95="",N(G95)=0),"",H95/G95)</f>
        <v/>
      </c>
    </row>
    <row r="96" customFormat="false" ht="15" hidden="false" customHeight="false" outlineLevel="0" collapsed="false">
      <c r="A96" s="5" t="str">
        <f aca="false">IF(Registro!A96="","",Registro!A96)</f>
        <v/>
      </c>
      <c r="B96" s="5" t="str">
        <f aca="false">IF(Registro!A96="","",Registro!B96)</f>
        <v/>
      </c>
      <c r="C96" s="5" t="str">
        <f aca="false">IF(Registro!A96="","",Registro!C96)</f>
        <v/>
      </c>
      <c r="D96" s="5" t="str">
        <f aca="false">IF(Registro!A96="","",Registro!E96)</f>
        <v/>
      </c>
      <c r="E96" s="5" t="str">
        <f aca="false">IF(Registro!A96="","",Registro!G96)</f>
        <v/>
      </c>
      <c r="F96" s="5" t="str">
        <f aca="false">IF(Registro!A96="","",Registro!D96)</f>
        <v/>
      </c>
      <c r="G96" s="5" t="str">
        <f aca="false">IF(Registro!A96="","",Registro!T96)</f>
        <v/>
      </c>
      <c r="H96" s="5" t="str">
        <f aca="false">IF(Registro!A96="","",IF(Registro!D96="Realizada",Registro!L96,0))</f>
        <v/>
      </c>
      <c r="I96" s="11" t="str">
        <f aca="false">IF(OR(Registro!A96="",N(G96)=0),"",H96/G96)</f>
        <v/>
      </c>
    </row>
    <row r="97" customFormat="false" ht="15" hidden="false" customHeight="false" outlineLevel="0" collapsed="false">
      <c r="A97" s="5" t="str">
        <f aca="false">IF(Registro!A97="","",Registro!A97)</f>
        <v/>
      </c>
      <c r="B97" s="5" t="str">
        <f aca="false">IF(Registro!A97="","",Registro!B97)</f>
        <v/>
      </c>
      <c r="C97" s="5" t="str">
        <f aca="false">IF(Registro!A97="","",Registro!C97)</f>
        <v/>
      </c>
      <c r="D97" s="5" t="str">
        <f aca="false">IF(Registro!A97="","",Registro!E97)</f>
        <v/>
      </c>
      <c r="E97" s="5" t="str">
        <f aca="false">IF(Registro!A97="","",Registro!G97)</f>
        <v/>
      </c>
      <c r="F97" s="5" t="str">
        <f aca="false">IF(Registro!A97="","",Registro!D97)</f>
        <v/>
      </c>
      <c r="G97" s="5" t="str">
        <f aca="false">IF(Registro!A97="","",Registro!T97)</f>
        <v/>
      </c>
      <c r="H97" s="5" t="str">
        <f aca="false">IF(Registro!A97="","",IF(Registro!D97="Realizada",Registro!L97,0))</f>
        <v/>
      </c>
      <c r="I97" s="11" t="str">
        <f aca="false">IF(OR(Registro!A97="",N(G97)=0),"",H97/G97)</f>
        <v/>
      </c>
    </row>
    <row r="98" customFormat="false" ht="15" hidden="false" customHeight="false" outlineLevel="0" collapsed="false">
      <c r="A98" s="5" t="str">
        <f aca="false">IF(Registro!A98="","",Registro!A98)</f>
        <v/>
      </c>
      <c r="B98" s="5" t="str">
        <f aca="false">IF(Registro!A98="","",Registro!B98)</f>
        <v/>
      </c>
      <c r="C98" s="5" t="str">
        <f aca="false">IF(Registro!A98="","",Registro!C98)</f>
        <v/>
      </c>
      <c r="D98" s="5" t="str">
        <f aca="false">IF(Registro!A98="","",Registro!E98)</f>
        <v/>
      </c>
      <c r="E98" s="5" t="str">
        <f aca="false">IF(Registro!A98="","",Registro!G98)</f>
        <v/>
      </c>
      <c r="F98" s="5" t="str">
        <f aca="false">IF(Registro!A98="","",Registro!D98)</f>
        <v/>
      </c>
      <c r="G98" s="5" t="str">
        <f aca="false">IF(Registro!A98="","",Registro!T98)</f>
        <v/>
      </c>
      <c r="H98" s="5" t="str">
        <f aca="false">IF(Registro!A98="","",IF(Registro!D98="Realizada",Registro!L98,0))</f>
        <v/>
      </c>
      <c r="I98" s="11" t="str">
        <f aca="false">IF(OR(Registro!A98="",N(G98)=0),"",H98/G98)</f>
        <v/>
      </c>
    </row>
    <row r="99" customFormat="false" ht="15" hidden="false" customHeight="false" outlineLevel="0" collapsed="false">
      <c r="A99" s="5" t="str">
        <f aca="false">IF(Registro!A99="","",Registro!A99)</f>
        <v/>
      </c>
      <c r="B99" s="5" t="str">
        <f aca="false">IF(Registro!A99="","",Registro!B99)</f>
        <v/>
      </c>
      <c r="C99" s="5" t="str">
        <f aca="false">IF(Registro!A99="","",Registro!C99)</f>
        <v/>
      </c>
      <c r="D99" s="5" t="str">
        <f aca="false">IF(Registro!A99="","",Registro!E99)</f>
        <v/>
      </c>
      <c r="E99" s="5" t="str">
        <f aca="false">IF(Registro!A99="","",Registro!G99)</f>
        <v/>
      </c>
      <c r="F99" s="5" t="str">
        <f aca="false">IF(Registro!A99="","",Registro!D99)</f>
        <v/>
      </c>
      <c r="G99" s="5" t="str">
        <f aca="false">IF(Registro!A99="","",Registro!T99)</f>
        <v/>
      </c>
      <c r="H99" s="5" t="str">
        <f aca="false">IF(Registro!A99="","",IF(Registro!D99="Realizada",Registro!L99,0))</f>
        <v/>
      </c>
      <c r="I99" s="11" t="str">
        <f aca="false">IF(OR(Registro!A99="",N(G99)=0),"",H99/G99)</f>
        <v/>
      </c>
    </row>
    <row r="100" customFormat="false" ht="15" hidden="false" customHeight="false" outlineLevel="0" collapsed="false">
      <c r="A100" s="5" t="str">
        <f aca="false">IF(Registro!A100="","",Registro!A100)</f>
        <v/>
      </c>
      <c r="B100" s="5" t="str">
        <f aca="false">IF(Registro!A100="","",Registro!B100)</f>
        <v/>
      </c>
      <c r="C100" s="5" t="str">
        <f aca="false">IF(Registro!A100="","",Registro!C100)</f>
        <v/>
      </c>
      <c r="D100" s="5" t="str">
        <f aca="false">IF(Registro!A100="","",Registro!E100)</f>
        <v/>
      </c>
      <c r="E100" s="5" t="str">
        <f aca="false">IF(Registro!A100="","",Registro!G100)</f>
        <v/>
      </c>
      <c r="F100" s="5" t="str">
        <f aca="false">IF(Registro!A100="","",Registro!D100)</f>
        <v/>
      </c>
      <c r="G100" s="5" t="str">
        <f aca="false">IF(Registro!A100="","",Registro!T100)</f>
        <v/>
      </c>
      <c r="H100" s="5" t="str">
        <f aca="false">IF(Registro!A100="","",IF(Registro!D100="Realizada",Registro!L100,0))</f>
        <v/>
      </c>
      <c r="I100" s="11" t="str">
        <f aca="false">IF(OR(Registro!A100="",N(G100)=0),"",H100/G100)</f>
        <v/>
      </c>
    </row>
    <row r="101" customFormat="false" ht="15" hidden="false" customHeight="false" outlineLevel="0" collapsed="false">
      <c r="A101" s="5" t="str">
        <f aca="false">IF(Registro!A101="","",Registro!A101)</f>
        <v/>
      </c>
      <c r="B101" s="5" t="str">
        <f aca="false">IF(Registro!A101="","",Registro!B101)</f>
        <v/>
      </c>
      <c r="C101" s="5" t="str">
        <f aca="false">IF(Registro!A101="","",Registro!C101)</f>
        <v/>
      </c>
      <c r="D101" s="5" t="str">
        <f aca="false">IF(Registro!A101="","",Registro!E101)</f>
        <v/>
      </c>
      <c r="E101" s="5" t="str">
        <f aca="false">IF(Registro!A101="","",Registro!G101)</f>
        <v/>
      </c>
      <c r="F101" s="5" t="str">
        <f aca="false">IF(Registro!A101="","",Registro!D101)</f>
        <v/>
      </c>
      <c r="G101" s="5" t="str">
        <f aca="false">IF(Registro!A101="","",Registro!T101)</f>
        <v/>
      </c>
      <c r="H101" s="5" t="str">
        <f aca="false">IF(Registro!A101="","",IF(Registro!D101="Realizada",Registro!L101,0))</f>
        <v/>
      </c>
      <c r="I101" s="11" t="str">
        <f aca="false">IF(OR(Registro!A101="",N(G101)=0),"",H101/G101)</f>
        <v/>
      </c>
    </row>
    <row r="102" customFormat="false" ht="15" hidden="false" customHeight="false" outlineLevel="0" collapsed="false">
      <c r="A102" s="5" t="str">
        <f aca="false">IF(Registro!A102="","",Registro!A102)</f>
        <v/>
      </c>
      <c r="B102" s="5" t="str">
        <f aca="false">IF(Registro!A102="","",Registro!B102)</f>
        <v/>
      </c>
      <c r="C102" s="5" t="str">
        <f aca="false">IF(Registro!A102="","",Registro!C102)</f>
        <v/>
      </c>
      <c r="D102" s="5" t="str">
        <f aca="false">IF(Registro!A102="","",Registro!E102)</f>
        <v/>
      </c>
      <c r="E102" s="5" t="str">
        <f aca="false">IF(Registro!A102="","",Registro!G102)</f>
        <v/>
      </c>
      <c r="F102" s="5" t="str">
        <f aca="false">IF(Registro!A102="","",Registro!D102)</f>
        <v/>
      </c>
      <c r="G102" s="5" t="str">
        <f aca="false">IF(Registro!A102="","",Registro!T102)</f>
        <v/>
      </c>
      <c r="H102" s="5" t="str">
        <f aca="false">IF(Registro!A102="","",IF(Registro!D102="Realizada",Registro!L102,0))</f>
        <v/>
      </c>
      <c r="I102" s="11" t="str">
        <f aca="false">IF(OR(Registro!A102="",N(G102)=0),"",H102/G102)</f>
        <v/>
      </c>
    </row>
    <row r="103" customFormat="false" ht="15" hidden="false" customHeight="false" outlineLevel="0" collapsed="false">
      <c r="A103" s="5" t="str">
        <f aca="false">IF(Registro!A103="","",Registro!A103)</f>
        <v/>
      </c>
      <c r="B103" s="5" t="str">
        <f aca="false">IF(Registro!A103="","",Registro!B103)</f>
        <v/>
      </c>
      <c r="C103" s="5" t="str">
        <f aca="false">IF(Registro!A103="","",Registro!C103)</f>
        <v/>
      </c>
      <c r="D103" s="5" t="str">
        <f aca="false">IF(Registro!A103="","",Registro!E103)</f>
        <v/>
      </c>
      <c r="E103" s="5" t="str">
        <f aca="false">IF(Registro!A103="","",Registro!G103)</f>
        <v/>
      </c>
      <c r="F103" s="5" t="str">
        <f aca="false">IF(Registro!A103="","",Registro!D103)</f>
        <v/>
      </c>
      <c r="G103" s="5" t="str">
        <f aca="false">IF(Registro!A103="","",Registro!T103)</f>
        <v/>
      </c>
      <c r="H103" s="5" t="str">
        <f aca="false">IF(Registro!A103="","",IF(Registro!D103="Realizada",Registro!L103,0))</f>
        <v/>
      </c>
      <c r="I103" s="11" t="str">
        <f aca="false">IF(OR(Registro!A103="",N(G103)=0),"",H103/G103)</f>
        <v/>
      </c>
    </row>
    <row r="104" customFormat="false" ht="15" hidden="false" customHeight="false" outlineLevel="0" collapsed="false">
      <c r="A104" s="5" t="str">
        <f aca="false">IF(Registro!A104="","",Registro!A104)</f>
        <v/>
      </c>
      <c r="B104" s="5" t="str">
        <f aca="false">IF(Registro!A104="","",Registro!B104)</f>
        <v/>
      </c>
      <c r="C104" s="5" t="str">
        <f aca="false">IF(Registro!A104="","",Registro!C104)</f>
        <v/>
      </c>
      <c r="D104" s="5" t="str">
        <f aca="false">IF(Registro!A104="","",Registro!E104)</f>
        <v/>
      </c>
      <c r="E104" s="5" t="str">
        <f aca="false">IF(Registro!A104="","",Registro!G104)</f>
        <v/>
      </c>
      <c r="F104" s="5" t="str">
        <f aca="false">IF(Registro!A104="","",Registro!D104)</f>
        <v/>
      </c>
      <c r="G104" s="5" t="str">
        <f aca="false">IF(Registro!A104="","",Registro!T104)</f>
        <v/>
      </c>
      <c r="H104" s="5" t="str">
        <f aca="false">IF(Registro!A104="","",IF(Registro!D104="Realizada",Registro!L104,0))</f>
        <v/>
      </c>
      <c r="I104" s="11" t="str">
        <f aca="false">IF(OR(Registro!A104="",N(G104)=0),"",H104/G104)</f>
        <v/>
      </c>
    </row>
    <row r="105" customFormat="false" ht="15" hidden="false" customHeight="false" outlineLevel="0" collapsed="false">
      <c r="A105" s="5" t="str">
        <f aca="false">IF(Registro!A105="","",Registro!A105)</f>
        <v/>
      </c>
      <c r="B105" s="5" t="str">
        <f aca="false">IF(Registro!A105="","",Registro!B105)</f>
        <v/>
      </c>
      <c r="C105" s="5" t="str">
        <f aca="false">IF(Registro!A105="","",Registro!C105)</f>
        <v/>
      </c>
      <c r="D105" s="5" t="str">
        <f aca="false">IF(Registro!A105="","",Registro!E105)</f>
        <v/>
      </c>
      <c r="E105" s="5" t="str">
        <f aca="false">IF(Registro!A105="","",Registro!G105)</f>
        <v/>
      </c>
      <c r="F105" s="5" t="str">
        <f aca="false">IF(Registro!A105="","",Registro!D105)</f>
        <v/>
      </c>
      <c r="G105" s="5" t="str">
        <f aca="false">IF(Registro!A105="","",Registro!T105)</f>
        <v/>
      </c>
      <c r="H105" s="5" t="str">
        <f aca="false">IF(Registro!A105="","",IF(Registro!D105="Realizada",Registro!L105,0))</f>
        <v/>
      </c>
      <c r="I105" s="11" t="str">
        <f aca="false">IF(OR(Registro!A105="",N(G105)=0),"",H105/G105)</f>
        <v/>
      </c>
    </row>
    <row r="106" customFormat="false" ht="15" hidden="false" customHeight="false" outlineLevel="0" collapsed="false">
      <c r="A106" s="5" t="str">
        <f aca="false">IF(Registro!A106="","",Registro!A106)</f>
        <v/>
      </c>
      <c r="B106" s="5" t="str">
        <f aca="false">IF(Registro!A106="","",Registro!B106)</f>
        <v/>
      </c>
      <c r="C106" s="5" t="str">
        <f aca="false">IF(Registro!A106="","",Registro!C106)</f>
        <v/>
      </c>
      <c r="D106" s="5" t="str">
        <f aca="false">IF(Registro!A106="","",Registro!E106)</f>
        <v/>
      </c>
      <c r="E106" s="5" t="str">
        <f aca="false">IF(Registro!A106="","",Registro!G106)</f>
        <v/>
      </c>
      <c r="F106" s="5" t="str">
        <f aca="false">IF(Registro!A106="","",Registro!D106)</f>
        <v/>
      </c>
      <c r="G106" s="5" t="str">
        <f aca="false">IF(Registro!A106="","",Registro!T106)</f>
        <v/>
      </c>
      <c r="H106" s="5" t="str">
        <f aca="false">IF(Registro!A106="","",IF(Registro!D106="Realizada",Registro!L106,0))</f>
        <v/>
      </c>
      <c r="I106" s="11" t="str">
        <f aca="false">IF(OR(Registro!A106="",N(G106)=0),"",H106/G106)</f>
        <v/>
      </c>
    </row>
    <row r="107" customFormat="false" ht="15" hidden="false" customHeight="false" outlineLevel="0" collapsed="false">
      <c r="A107" s="5" t="str">
        <f aca="false">IF(Registro!A107="","",Registro!A107)</f>
        <v/>
      </c>
      <c r="B107" s="5" t="str">
        <f aca="false">IF(Registro!A107="","",Registro!B107)</f>
        <v/>
      </c>
      <c r="C107" s="5" t="str">
        <f aca="false">IF(Registro!A107="","",Registro!C107)</f>
        <v/>
      </c>
      <c r="D107" s="5" t="str">
        <f aca="false">IF(Registro!A107="","",Registro!E107)</f>
        <v/>
      </c>
      <c r="E107" s="5" t="str">
        <f aca="false">IF(Registro!A107="","",Registro!G107)</f>
        <v/>
      </c>
      <c r="F107" s="5" t="str">
        <f aca="false">IF(Registro!A107="","",Registro!D107)</f>
        <v/>
      </c>
      <c r="G107" s="5" t="str">
        <f aca="false">IF(Registro!A107="","",Registro!T107)</f>
        <v/>
      </c>
      <c r="H107" s="5" t="str">
        <f aca="false">IF(Registro!A107="","",IF(Registro!D107="Realizada",Registro!L107,0))</f>
        <v/>
      </c>
      <c r="I107" s="11" t="str">
        <f aca="false">IF(OR(Registro!A107="",N(G107)=0),"",H107/G107)</f>
        <v/>
      </c>
    </row>
    <row r="108" customFormat="false" ht="15" hidden="false" customHeight="false" outlineLevel="0" collapsed="false">
      <c r="A108" s="5" t="str">
        <f aca="false">IF(Registro!A108="","",Registro!A108)</f>
        <v/>
      </c>
      <c r="B108" s="5" t="str">
        <f aca="false">IF(Registro!A108="","",Registro!B108)</f>
        <v/>
      </c>
      <c r="C108" s="5" t="str">
        <f aca="false">IF(Registro!A108="","",Registro!C108)</f>
        <v/>
      </c>
      <c r="D108" s="5" t="str">
        <f aca="false">IF(Registro!A108="","",Registro!E108)</f>
        <v/>
      </c>
      <c r="E108" s="5" t="str">
        <f aca="false">IF(Registro!A108="","",Registro!G108)</f>
        <v/>
      </c>
      <c r="F108" s="5" t="str">
        <f aca="false">IF(Registro!A108="","",Registro!D108)</f>
        <v/>
      </c>
      <c r="G108" s="5" t="str">
        <f aca="false">IF(Registro!A108="","",Registro!T108)</f>
        <v/>
      </c>
      <c r="H108" s="5" t="str">
        <f aca="false">IF(Registro!A108="","",IF(Registro!D108="Realizada",Registro!L108,0))</f>
        <v/>
      </c>
      <c r="I108" s="11" t="str">
        <f aca="false">IF(OR(Registro!A108="",N(G108)=0),"",H108/G108)</f>
        <v/>
      </c>
    </row>
    <row r="109" customFormat="false" ht="15" hidden="false" customHeight="false" outlineLevel="0" collapsed="false">
      <c r="A109" s="5" t="str">
        <f aca="false">IF(Registro!A109="","",Registro!A109)</f>
        <v/>
      </c>
      <c r="B109" s="5" t="str">
        <f aca="false">IF(Registro!A109="","",Registro!B109)</f>
        <v/>
      </c>
      <c r="C109" s="5" t="str">
        <f aca="false">IF(Registro!A109="","",Registro!C109)</f>
        <v/>
      </c>
      <c r="D109" s="5" t="str">
        <f aca="false">IF(Registro!A109="","",Registro!E109)</f>
        <v/>
      </c>
      <c r="E109" s="5" t="str">
        <f aca="false">IF(Registro!A109="","",Registro!G109)</f>
        <v/>
      </c>
      <c r="F109" s="5" t="str">
        <f aca="false">IF(Registro!A109="","",Registro!D109)</f>
        <v/>
      </c>
      <c r="G109" s="5" t="str">
        <f aca="false">IF(Registro!A109="","",Registro!T109)</f>
        <v/>
      </c>
      <c r="H109" s="5" t="str">
        <f aca="false">IF(Registro!A109="","",IF(Registro!D109="Realizada",Registro!L109,0))</f>
        <v/>
      </c>
      <c r="I109" s="11" t="str">
        <f aca="false">IF(OR(Registro!A109="",N(G109)=0),"",H109/G109)</f>
        <v/>
      </c>
    </row>
    <row r="110" customFormat="false" ht="15" hidden="false" customHeight="false" outlineLevel="0" collapsed="false">
      <c r="A110" s="5" t="str">
        <f aca="false">IF(Registro!A110="","",Registro!A110)</f>
        <v/>
      </c>
      <c r="B110" s="5" t="str">
        <f aca="false">IF(Registro!A110="","",Registro!B110)</f>
        <v/>
      </c>
      <c r="C110" s="5" t="str">
        <f aca="false">IF(Registro!A110="","",Registro!C110)</f>
        <v/>
      </c>
      <c r="D110" s="5" t="str">
        <f aca="false">IF(Registro!A110="","",Registro!E110)</f>
        <v/>
      </c>
      <c r="E110" s="5" t="str">
        <f aca="false">IF(Registro!A110="","",Registro!G110)</f>
        <v/>
      </c>
      <c r="F110" s="5" t="str">
        <f aca="false">IF(Registro!A110="","",Registro!D110)</f>
        <v/>
      </c>
      <c r="G110" s="5" t="str">
        <f aca="false">IF(Registro!A110="","",Registro!T110)</f>
        <v/>
      </c>
      <c r="H110" s="5" t="str">
        <f aca="false">IF(Registro!A110="","",IF(Registro!D110="Realizada",Registro!L110,0))</f>
        <v/>
      </c>
      <c r="I110" s="11" t="str">
        <f aca="false">IF(OR(Registro!A110="",N(G110)=0),"",H110/G110)</f>
        <v/>
      </c>
    </row>
    <row r="111" customFormat="false" ht="15" hidden="false" customHeight="false" outlineLevel="0" collapsed="false">
      <c r="A111" s="5" t="str">
        <f aca="false">IF(Registro!A111="","",Registro!A111)</f>
        <v/>
      </c>
      <c r="B111" s="5" t="str">
        <f aca="false">IF(Registro!A111="","",Registro!B111)</f>
        <v/>
      </c>
      <c r="C111" s="5" t="str">
        <f aca="false">IF(Registro!A111="","",Registro!C111)</f>
        <v/>
      </c>
      <c r="D111" s="5" t="str">
        <f aca="false">IF(Registro!A111="","",Registro!E111)</f>
        <v/>
      </c>
      <c r="E111" s="5" t="str">
        <f aca="false">IF(Registro!A111="","",Registro!G111)</f>
        <v/>
      </c>
      <c r="F111" s="5" t="str">
        <f aca="false">IF(Registro!A111="","",Registro!D111)</f>
        <v/>
      </c>
      <c r="G111" s="5" t="str">
        <f aca="false">IF(Registro!A111="","",Registro!T111)</f>
        <v/>
      </c>
      <c r="H111" s="5" t="str">
        <f aca="false">IF(Registro!A111="","",IF(Registro!D111="Realizada",Registro!L111,0))</f>
        <v/>
      </c>
      <c r="I111" s="11" t="str">
        <f aca="false">IF(OR(Registro!A111="",N(G111)=0),"",H111/G111)</f>
        <v/>
      </c>
    </row>
    <row r="112" customFormat="false" ht="15" hidden="false" customHeight="false" outlineLevel="0" collapsed="false">
      <c r="A112" s="5" t="str">
        <f aca="false">IF(Registro!A112="","",Registro!A112)</f>
        <v/>
      </c>
      <c r="B112" s="5" t="str">
        <f aca="false">IF(Registro!A112="","",Registro!B112)</f>
        <v/>
      </c>
      <c r="C112" s="5" t="str">
        <f aca="false">IF(Registro!A112="","",Registro!C112)</f>
        <v/>
      </c>
      <c r="D112" s="5" t="str">
        <f aca="false">IF(Registro!A112="","",Registro!E112)</f>
        <v/>
      </c>
      <c r="E112" s="5" t="str">
        <f aca="false">IF(Registro!A112="","",Registro!G112)</f>
        <v/>
      </c>
      <c r="F112" s="5" t="str">
        <f aca="false">IF(Registro!A112="","",Registro!D112)</f>
        <v/>
      </c>
      <c r="G112" s="5" t="str">
        <f aca="false">IF(Registro!A112="","",Registro!T112)</f>
        <v/>
      </c>
      <c r="H112" s="5" t="str">
        <f aca="false">IF(Registro!A112="","",IF(Registro!D112="Realizada",Registro!L112,0))</f>
        <v/>
      </c>
      <c r="I112" s="11" t="str">
        <f aca="false">IF(OR(Registro!A112="",N(G112)=0),"",H112/G112)</f>
        <v/>
      </c>
    </row>
    <row r="113" customFormat="false" ht="15" hidden="false" customHeight="false" outlineLevel="0" collapsed="false">
      <c r="A113" s="5" t="str">
        <f aca="false">IF(Registro!A113="","",Registro!A113)</f>
        <v/>
      </c>
      <c r="B113" s="5" t="str">
        <f aca="false">IF(Registro!A113="","",Registro!B113)</f>
        <v/>
      </c>
      <c r="C113" s="5" t="str">
        <f aca="false">IF(Registro!A113="","",Registro!C113)</f>
        <v/>
      </c>
      <c r="D113" s="5" t="str">
        <f aca="false">IF(Registro!A113="","",Registro!E113)</f>
        <v/>
      </c>
      <c r="E113" s="5" t="str">
        <f aca="false">IF(Registro!A113="","",Registro!G113)</f>
        <v/>
      </c>
      <c r="F113" s="5" t="str">
        <f aca="false">IF(Registro!A113="","",Registro!D113)</f>
        <v/>
      </c>
      <c r="G113" s="5" t="str">
        <f aca="false">IF(Registro!A113="","",Registro!T113)</f>
        <v/>
      </c>
      <c r="H113" s="5" t="str">
        <f aca="false">IF(Registro!A113="","",IF(Registro!D113="Realizada",Registro!L113,0))</f>
        <v/>
      </c>
      <c r="I113" s="11" t="str">
        <f aca="false">IF(OR(Registro!A113="",N(G113)=0),"",H113/G113)</f>
        <v/>
      </c>
    </row>
    <row r="114" customFormat="false" ht="15" hidden="false" customHeight="false" outlineLevel="0" collapsed="false">
      <c r="A114" s="5" t="str">
        <f aca="false">IF(Registro!A114="","",Registro!A114)</f>
        <v/>
      </c>
      <c r="B114" s="5" t="str">
        <f aca="false">IF(Registro!A114="","",Registro!B114)</f>
        <v/>
      </c>
      <c r="C114" s="5" t="str">
        <f aca="false">IF(Registro!A114="","",Registro!C114)</f>
        <v/>
      </c>
      <c r="D114" s="5" t="str">
        <f aca="false">IF(Registro!A114="","",Registro!E114)</f>
        <v/>
      </c>
      <c r="E114" s="5" t="str">
        <f aca="false">IF(Registro!A114="","",Registro!G114)</f>
        <v/>
      </c>
      <c r="F114" s="5" t="str">
        <f aca="false">IF(Registro!A114="","",Registro!D114)</f>
        <v/>
      </c>
      <c r="G114" s="5" t="str">
        <f aca="false">IF(Registro!A114="","",Registro!T114)</f>
        <v/>
      </c>
      <c r="H114" s="5" t="str">
        <f aca="false">IF(Registro!A114="","",IF(Registro!D114="Realizada",Registro!L114,0))</f>
        <v/>
      </c>
      <c r="I114" s="11" t="str">
        <f aca="false">IF(OR(Registro!A114="",N(G114)=0),"",H114/G114)</f>
        <v/>
      </c>
    </row>
    <row r="115" customFormat="false" ht="15" hidden="false" customHeight="false" outlineLevel="0" collapsed="false">
      <c r="A115" s="5" t="str">
        <f aca="false">IF(Registro!A115="","",Registro!A115)</f>
        <v/>
      </c>
      <c r="B115" s="5" t="str">
        <f aca="false">IF(Registro!A115="","",Registro!B115)</f>
        <v/>
      </c>
      <c r="C115" s="5" t="str">
        <f aca="false">IF(Registro!A115="","",Registro!C115)</f>
        <v/>
      </c>
      <c r="D115" s="5" t="str">
        <f aca="false">IF(Registro!A115="","",Registro!E115)</f>
        <v/>
      </c>
      <c r="E115" s="5" t="str">
        <f aca="false">IF(Registro!A115="","",Registro!G115)</f>
        <v/>
      </c>
      <c r="F115" s="5" t="str">
        <f aca="false">IF(Registro!A115="","",Registro!D115)</f>
        <v/>
      </c>
      <c r="G115" s="5" t="str">
        <f aca="false">IF(Registro!A115="","",Registro!T115)</f>
        <v/>
      </c>
      <c r="H115" s="5" t="str">
        <f aca="false">IF(Registro!A115="","",IF(Registro!D115="Realizada",Registro!L115,0))</f>
        <v/>
      </c>
      <c r="I115" s="11" t="str">
        <f aca="false">IF(OR(Registro!A115="",N(G115)=0),"",H115/G115)</f>
        <v/>
      </c>
    </row>
    <row r="116" customFormat="false" ht="15" hidden="false" customHeight="false" outlineLevel="0" collapsed="false">
      <c r="A116" s="5" t="str">
        <f aca="false">IF(Registro!A116="","",Registro!A116)</f>
        <v/>
      </c>
      <c r="B116" s="5" t="str">
        <f aca="false">IF(Registro!A116="","",Registro!B116)</f>
        <v/>
      </c>
      <c r="C116" s="5" t="str">
        <f aca="false">IF(Registro!A116="","",Registro!C116)</f>
        <v/>
      </c>
      <c r="D116" s="5" t="str">
        <f aca="false">IF(Registro!A116="","",Registro!E116)</f>
        <v/>
      </c>
      <c r="E116" s="5" t="str">
        <f aca="false">IF(Registro!A116="","",Registro!G116)</f>
        <v/>
      </c>
      <c r="F116" s="5" t="str">
        <f aca="false">IF(Registro!A116="","",Registro!D116)</f>
        <v/>
      </c>
      <c r="G116" s="5" t="str">
        <f aca="false">IF(Registro!A116="","",Registro!T116)</f>
        <v/>
      </c>
      <c r="H116" s="5" t="str">
        <f aca="false">IF(Registro!A116="","",IF(Registro!D116="Realizada",Registro!L116,0))</f>
        <v/>
      </c>
      <c r="I116" s="11" t="str">
        <f aca="false">IF(OR(Registro!A116="",N(G116)=0),"",H116/G116)</f>
        <v/>
      </c>
    </row>
    <row r="117" customFormat="false" ht="15" hidden="false" customHeight="false" outlineLevel="0" collapsed="false">
      <c r="A117" s="5" t="str">
        <f aca="false">IF(Registro!A117="","",Registro!A117)</f>
        <v/>
      </c>
      <c r="B117" s="5" t="str">
        <f aca="false">IF(Registro!A117="","",Registro!B117)</f>
        <v/>
      </c>
      <c r="C117" s="5" t="str">
        <f aca="false">IF(Registro!A117="","",Registro!C117)</f>
        <v/>
      </c>
      <c r="D117" s="5" t="str">
        <f aca="false">IF(Registro!A117="","",Registro!E117)</f>
        <v/>
      </c>
      <c r="E117" s="5" t="str">
        <f aca="false">IF(Registro!A117="","",Registro!G117)</f>
        <v/>
      </c>
      <c r="F117" s="5" t="str">
        <f aca="false">IF(Registro!A117="","",Registro!D117)</f>
        <v/>
      </c>
      <c r="G117" s="5" t="str">
        <f aca="false">IF(Registro!A117="","",Registro!T117)</f>
        <v/>
      </c>
      <c r="H117" s="5" t="str">
        <f aca="false">IF(Registro!A117="","",IF(Registro!D117="Realizada",Registro!L117,0))</f>
        <v/>
      </c>
      <c r="I117" s="11" t="str">
        <f aca="false">IF(OR(Registro!A117="",N(G117)=0),"",H117/G117)</f>
        <v/>
      </c>
    </row>
    <row r="118" customFormat="false" ht="15" hidden="false" customHeight="false" outlineLevel="0" collapsed="false">
      <c r="A118" s="5" t="str">
        <f aca="false">IF(Registro!A118="","",Registro!A118)</f>
        <v/>
      </c>
      <c r="B118" s="5" t="str">
        <f aca="false">IF(Registro!A118="","",Registro!B118)</f>
        <v/>
      </c>
      <c r="C118" s="5" t="str">
        <f aca="false">IF(Registro!A118="","",Registro!C118)</f>
        <v/>
      </c>
      <c r="D118" s="5" t="str">
        <f aca="false">IF(Registro!A118="","",Registro!E118)</f>
        <v/>
      </c>
      <c r="E118" s="5" t="str">
        <f aca="false">IF(Registro!A118="","",Registro!G118)</f>
        <v/>
      </c>
      <c r="F118" s="5" t="str">
        <f aca="false">IF(Registro!A118="","",Registro!D118)</f>
        <v/>
      </c>
      <c r="G118" s="5" t="str">
        <f aca="false">IF(Registro!A118="","",Registro!T118)</f>
        <v/>
      </c>
      <c r="H118" s="5" t="str">
        <f aca="false">IF(Registro!A118="","",IF(Registro!D118="Realizada",Registro!L118,0))</f>
        <v/>
      </c>
      <c r="I118" s="11" t="str">
        <f aca="false">IF(OR(Registro!A118="",N(G118)=0),"",H118/G118)</f>
        <v/>
      </c>
    </row>
    <row r="119" customFormat="false" ht="15" hidden="false" customHeight="false" outlineLevel="0" collapsed="false">
      <c r="A119" s="5" t="str">
        <f aca="false">IF(Registro!A119="","",Registro!A119)</f>
        <v/>
      </c>
      <c r="B119" s="5" t="str">
        <f aca="false">IF(Registro!A119="","",Registro!B119)</f>
        <v/>
      </c>
      <c r="C119" s="5" t="str">
        <f aca="false">IF(Registro!A119="","",Registro!C119)</f>
        <v/>
      </c>
      <c r="D119" s="5" t="str">
        <f aca="false">IF(Registro!A119="","",Registro!E119)</f>
        <v/>
      </c>
      <c r="E119" s="5" t="str">
        <f aca="false">IF(Registro!A119="","",Registro!G119)</f>
        <v/>
      </c>
      <c r="F119" s="5" t="str">
        <f aca="false">IF(Registro!A119="","",Registro!D119)</f>
        <v/>
      </c>
      <c r="G119" s="5" t="str">
        <f aca="false">IF(Registro!A119="","",Registro!T119)</f>
        <v/>
      </c>
      <c r="H119" s="5" t="str">
        <f aca="false">IF(Registro!A119="","",IF(Registro!D119="Realizada",Registro!L119,0))</f>
        <v/>
      </c>
      <c r="I119" s="11" t="str">
        <f aca="false">IF(OR(Registro!A119="",N(G119)=0),"",H119/G119)</f>
        <v/>
      </c>
    </row>
    <row r="120" customFormat="false" ht="15" hidden="false" customHeight="false" outlineLevel="0" collapsed="false">
      <c r="A120" s="5" t="str">
        <f aca="false">IF(Registro!A120="","",Registro!A120)</f>
        <v/>
      </c>
      <c r="B120" s="5" t="str">
        <f aca="false">IF(Registro!A120="","",Registro!B120)</f>
        <v/>
      </c>
      <c r="C120" s="5" t="str">
        <f aca="false">IF(Registro!A120="","",Registro!C120)</f>
        <v/>
      </c>
      <c r="D120" s="5" t="str">
        <f aca="false">IF(Registro!A120="","",Registro!E120)</f>
        <v/>
      </c>
      <c r="E120" s="5" t="str">
        <f aca="false">IF(Registro!A120="","",Registro!G120)</f>
        <v/>
      </c>
      <c r="F120" s="5" t="str">
        <f aca="false">IF(Registro!A120="","",Registro!D120)</f>
        <v/>
      </c>
      <c r="G120" s="5" t="str">
        <f aca="false">IF(Registro!A120="","",Registro!T120)</f>
        <v/>
      </c>
      <c r="H120" s="5" t="str">
        <f aca="false">IF(Registro!A120="","",IF(Registro!D120="Realizada",Registro!L120,0))</f>
        <v/>
      </c>
      <c r="I120" s="11" t="str">
        <f aca="false">IF(OR(Registro!A120="",N(G120)=0),"",H120/G120)</f>
        <v/>
      </c>
    </row>
    <row r="121" customFormat="false" ht="15" hidden="false" customHeight="false" outlineLevel="0" collapsed="false">
      <c r="A121" s="5" t="str">
        <f aca="false">IF(Registro!A121="","",Registro!A121)</f>
        <v/>
      </c>
      <c r="B121" s="5" t="str">
        <f aca="false">IF(Registro!A121="","",Registro!B121)</f>
        <v/>
      </c>
      <c r="C121" s="5" t="str">
        <f aca="false">IF(Registro!A121="","",Registro!C121)</f>
        <v/>
      </c>
      <c r="D121" s="5" t="str">
        <f aca="false">IF(Registro!A121="","",Registro!E121)</f>
        <v/>
      </c>
      <c r="E121" s="5" t="str">
        <f aca="false">IF(Registro!A121="","",Registro!G121)</f>
        <v/>
      </c>
      <c r="F121" s="5" t="str">
        <f aca="false">IF(Registro!A121="","",Registro!D121)</f>
        <v/>
      </c>
      <c r="G121" s="5" t="str">
        <f aca="false">IF(Registro!A121="","",Registro!T121)</f>
        <v/>
      </c>
      <c r="H121" s="5" t="str">
        <f aca="false">IF(Registro!A121="","",IF(Registro!D121="Realizada",Registro!L121,0))</f>
        <v/>
      </c>
      <c r="I121" s="11" t="str">
        <f aca="false">IF(OR(Registro!A121="",N(G121)=0),"",H121/G121)</f>
        <v/>
      </c>
    </row>
    <row r="122" customFormat="false" ht="15" hidden="false" customHeight="false" outlineLevel="0" collapsed="false">
      <c r="A122" s="5" t="str">
        <f aca="false">IF(Registro!A122="","",Registro!A122)</f>
        <v/>
      </c>
      <c r="B122" s="5" t="str">
        <f aca="false">IF(Registro!A122="","",Registro!B122)</f>
        <v/>
      </c>
      <c r="C122" s="5" t="str">
        <f aca="false">IF(Registro!A122="","",Registro!C122)</f>
        <v/>
      </c>
      <c r="D122" s="5" t="str">
        <f aca="false">IF(Registro!A122="","",Registro!E122)</f>
        <v/>
      </c>
      <c r="E122" s="5" t="str">
        <f aca="false">IF(Registro!A122="","",Registro!G122)</f>
        <v/>
      </c>
      <c r="F122" s="5" t="str">
        <f aca="false">IF(Registro!A122="","",Registro!D122)</f>
        <v/>
      </c>
      <c r="G122" s="5" t="str">
        <f aca="false">IF(Registro!A122="","",Registro!T122)</f>
        <v/>
      </c>
      <c r="H122" s="5" t="str">
        <f aca="false">IF(Registro!A122="","",IF(Registro!D122="Realizada",Registro!L122,0))</f>
        <v/>
      </c>
      <c r="I122" s="11" t="str">
        <f aca="false">IF(OR(Registro!A122="",N(G122)=0),"",H122/G122)</f>
        <v/>
      </c>
    </row>
    <row r="123" customFormat="false" ht="15" hidden="false" customHeight="false" outlineLevel="0" collapsed="false">
      <c r="A123" s="5" t="str">
        <f aca="false">IF(Registro!A123="","",Registro!A123)</f>
        <v/>
      </c>
      <c r="B123" s="5" t="str">
        <f aca="false">IF(Registro!A123="","",Registro!B123)</f>
        <v/>
      </c>
      <c r="C123" s="5" t="str">
        <f aca="false">IF(Registro!A123="","",Registro!C123)</f>
        <v/>
      </c>
      <c r="D123" s="5" t="str">
        <f aca="false">IF(Registro!A123="","",Registro!E123)</f>
        <v/>
      </c>
      <c r="E123" s="5" t="str">
        <f aca="false">IF(Registro!A123="","",Registro!G123)</f>
        <v/>
      </c>
      <c r="F123" s="5" t="str">
        <f aca="false">IF(Registro!A123="","",Registro!D123)</f>
        <v/>
      </c>
      <c r="G123" s="5" t="str">
        <f aca="false">IF(Registro!A123="","",Registro!T123)</f>
        <v/>
      </c>
      <c r="H123" s="5" t="str">
        <f aca="false">IF(Registro!A123="","",IF(Registro!D123="Realizada",Registro!L123,0))</f>
        <v/>
      </c>
      <c r="I123" s="11" t="str">
        <f aca="false">IF(OR(Registro!A123="",N(G123)=0),"",H123/G123)</f>
        <v/>
      </c>
    </row>
    <row r="124" customFormat="false" ht="15" hidden="false" customHeight="false" outlineLevel="0" collapsed="false">
      <c r="A124" s="5" t="str">
        <f aca="false">IF(Registro!A124="","",Registro!A124)</f>
        <v/>
      </c>
      <c r="B124" s="5" t="str">
        <f aca="false">IF(Registro!A124="","",Registro!B124)</f>
        <v/>
      </c>
      <c r="C124" s="5" t="str">
        <f aca="false">IF(Registro!A124="","",Registro!C124)</f>
        <v/>
      </c>
      <c r="D124" s="5" t="str">
        <f aca="false">IF(Registro!A124="","",Registro!E124)</f>
        <v/>
      </c>
      <c r="E124" s="5" t="str">
        <f aca="false">IF(Registro!A124="","",Registro!G124)</f>
        <v/>
      </c>
      <c r="F124" s="5" t="str">
        <f aca="false">IF(Registro!A124="","",Registro!D124)</f>
        <v/>
      </c>
      <c r="G124" s="5" t="str">
        <f aca="false">IF(Registro!A124="","",Registro!T124)</f>
        <v/>
      </c>
      <c r="H124" s="5" t="str">
        <f aca="false">IF(Registro!A124="","",IF(Registro!D124="Realizada",Registro!L124,0))</f>
        <v/>
      </c>
      <c r="I124" s="11" t="str">
        <f aca="false">IF(OR(Registro!A124="",N(G124)=0),"",H124/G124)</f>
        <v/>
      </c>
    </row>
    <row r="125" customFormat="false" ht="15" hidden="false" customHeight="false" outlineLevel="0" collapsed="false">
      <c r="A125" s="5" t="str">
        <f aca="false">IF(Registro!A125="","",Registro!A125)</f>
        <v/>
      </c>
      <c r="B125" s="5" t="str">
        <f aca="false">IF(Registro!A125="","",Registro!B125)</f>
        <v/>
      </c>
      <c r="C125" s="5" t="str">
        <f aca="false">IF(Registro!A125="","",Registro!C125)</f>
        <v/>
      </c>
      <c r="D125" s="5" t="str">
        <f aca="false">IF(Registro!A125="","",Registro!E125)</f>
        <v/>
      </c>
      <c r="E125" s="5" t="str">
        <f aca="false">IF(Registro!A125="","",Registro!G125)</f>
        <v/>
      </c>
      <c r="F125" s="5" t="str">
        <f aca="false">IF(Registro!A125="","",Registro!D125)</f>
        <v/>
      </c>
      <c r="G125" s="5" t="str">
        <f aca="false">IF(Registro!A125="","",Registro!T125)</f>
        <v/>
      </c>
      <c r="H125" s="5" t="str">
        <f aca="false">IF(Registro!A125="","",IF(Registro!D125="Realizada",Registro!L125,0))</f>
        <v/>
      </c>
      <c r="I125" s="11" t="str">
        <f aca="false">IF(OR(Registro!A125="",N(G125)=0),"",H125/G125)</f>
        <v/>
      </c>
    </row>
    <row r="126" customFormat="false" ht="15" hidden="false" customHeight="false" outlineLevel="0" collapsed="false">
      <c r="A126" s="5" t="str">
        <f aca="false">IF(Registro!A126="","",Registro!A126)</f>
        <v/>
      </c>
      <c r="B126" s="5" t="str">
        <f aca="false">IF(Registro!A126="","",Registro!B126)</f>
        <v/>
      </c>
      <c r="C126" s="5" t="str">
        <f aca="false">IF(Registro!A126="","",Registro!C126)</f>
        <v/>
      </c>
      <c r="D126" s="5" t="str">
        <f aca="false">IF(Registro!A126="","",Registro!E126)</f>
        <v/>
      </c>
      <c r="E126" s="5" t="str">
        <f aca="false">IF(Registro!A126="","",Registro!G126)</f>
        <v/>
      </c>
      <c r="F126" s="5" t="str">
        <f aca="false">IF(Registro!A126="","",Registro!D126)</f>
        <v/>
      </c>
      <c r="G126" s="5" t="str">
        <f aca="false">IF(Registro!A126="","",Registro!T126)</f>
        <v/>
      </c>
      <c r="H126" s="5" t="str">
        <f aca="false">IF(Registro!A126="","",IF(Registro!D126="Realizada",Registro!L126,0))</f>
        <v/>
      </c>
      <c r="I126" s="11" t="str">
        <f aca="false">IF(OR(Registro!A126="",N(G126)=0),"",H126/G126)</f>
        <v/>
      </c>
    </row>
    <row r="127" customFormat="false" ht="15" hidden="false" customHeight="false" outlineLevel="0" collapsed="false">
      <c r="A127" s="5" t="str">
        <f aca="false">IF(Registro!A127="","",Registro!A127)</f>
        <v/>
      </c>
      <c r="B127" s="5" t="str">
        <f aca="false">IF(Registro!A127="","",Registro!B127)</f>
        <v/>
      </c>
      <c r="C127" s="5" t="str">
        <f aca="false">IF(Registro!A127="","",Registro!C127)</f>
        <v/>
      </c>
      <c r="D127" s="5" t="str">
        <f aca="false">IF(Registro!A127="","",Registro!E127)</f>
        <v/>
      </c>
      <c r="E127" s="5" t="str">
        <f aca="false">IF(Registro!A127="","",Registro!G127)</f>
        <v/>
      </c>
      <c r="F127" s="5" t="str">
        <f aca="false">IF(Registro!A127="","",Registro!D127)</f>
        <v/>
      </c>
      <c r="G127" s="5" t="str">
        <f aca="false">IF(Registro!A127="","",Registro!T127)</f>
        <v/>
      </c>
      <c r="H127" s="5" t="str">
        <f aca="false">IF(Registro!A127="","",IF(Registro!D127="Realizada",Registro!L127,0))</f>
        <v/>
      </c>
      <c r="I127" s="11" t="str">
        <f aca="false">IF(OR(Registro!A127="",N(G127)=0),"",H127/G127)</f>
        <v/>
      </c>
    </row>
    <row r="128" customFormat="false" ht="15" hidden="false" customHeight="false" outlineLevel="0" collapsed="false">
      <c r="A128" s="5" t="str">
        <f aca="false">IF(Registro!A128="","",Registro!A128)</f>
        <v/>
      </c>
      <c r="B128" s="5" t="str">
        <f aca="false">IF(Registro!A128="","",Registro!B128)</f>
        <v/>
      </c>
      <c r="C128" s="5" t="str">
        <f aca="false">IF(Registro!A128="","",Registro!C128)</f>
        <v/>
      </c>
      <c r="D128" s="5" t="str">
        <f aca="false">IF(Registro!A128="","",Registro!E128)</f>
        <v/>
      </c>
      <c r="E128" s="5" t="str">
        <f aca="false">IF(Registro!A128="","",Registro!G128)</f>
        <v/>
      </c>
      <c r="F128" s="5" t="str">
        <f aca="false">IF(Registro!A128="","",Registro!D128)</f>
        <v/>
      </c>
      <c r="G128" s="5" t="str">
        <f aca="false">IF(Registro!A128="","",Registro!T128)</f>
        <v/>
      </c>
      <c r="H128" s="5" t="str">
        <f aca="false">IF(Registro!A128="","",IF(Registro!D128="Realizada",Registro!L128,0))</f>
        <v/>
      </c>
      <c r="I128" s="11" t="str">
        <f aca="false">IF(OR(Registro!A128="",N(G128)=0),"",H128/G128)</f>
        <v/>
      </c>
    </row>
    <row r="129" customFormat="false" ht="15" hidden="false" customHeight="false" outlineLevel="0" collapsed="false">
      <c r="A129" s="5" t="str">
        <f aca="false">IF(Registro!A129="","",Registro!A129)</f>
        <v/>
      </c>
      <c r="B129" s="5" t="str">
        <f aca="false">IF(Registro!A129="","",Registro!B129)</f>
        <v/>
      </c>
      <c r="C129" s="5" t="str">
        <f aca="false">IF(Registro!A129="","",Registro!C129)</f>
        <v/>
      </c>
      <c r="D129" s="5" t="str">
        <f aca="false">IF(Registro!A129="","",Registro!E129)</f>
        <v/>
      </c>
      <c r="E129" s="5" t="str">
        <f aca="false">IF(Registro!A129="","",Registro!G129)</f>
        <v/>
      </c>
      <c r="F129" s="5" t="str">
        <f aca="false">IF(Registro!A129="","",Registro!D129)</f>
        <v/>
      </c>
      <c r="G129" s="5" t="str">
        <f aca="false">IF(Registro!A129="","",Registro!T129)</f>
        <v/>
      </c>
      <c r="H129" s="5" t="str">
        <f aca="false">IF(Registro!A129="","",IF(Registro!D129="Realizada",Registro!L129,0))</f>
        <v/>
      </c>
      <c r="I129" s="11" t="str">
        <f aca="false">IF(OR(Registro!A129="",N(G129)=0),"",H129/G129)</f>
        <v/>
      </c>
    </row>
    <row r="130" customFormat="false" ht="15" hidden="false" customHeight="false" outlineLevel="0" collapsed="false">
      <c r="A130" s="5" t="str">
        <f aca="false">IF(Registro!A130="","",Registro!A130)</f>
        <v/>
      </c>
      <c r="B130" s="5" t="str">
        <f aca="false">IF(Registro!A130="","",Registro!B130)</f>
        <v/>
      </c>
      <c r="C130" s="5" t="str">
        <f aca="false">IF(Registro!A130="","",Registro!C130)</f>
        <v/>
      </c>
      <c r="D130" s="5" t="str">
        <f aca="false">IF(Registro!A130="","",Registro!E130)</f>
        <v/>
      </c>
      <c r="E130" s="5" t="str">
        <f aca="false">IF(Registro!A130="","",Registro!G130)</f>
        <v/>
      </c>
      <c r="F130" s="5" t="str">
        <f aca="false">IF(Registro!A130="","",Registro!D130)</f>
        <v/>
      </c>
      <c r="G130" s="5" t="str">
        <f aca="false">IF(Registro!A130="","",Registro!T130)</f>
        <v/>
      </c>
      <c r="H130" s="5" t="str">
        <f aca="false">IF(Registro!A130="","",IF(Registro!D130="Realizada",Registro!L130,0))</f>
        <v/>
      </c>
      <c r="I130" s="11" t="str">
        <f aca="false">IF(OR(Registro!A130="",N(G130)=0),"",H130/G130)</f>
        <v/>
      </c>
    </row>
    <row r="131" customFormat="false" ht="15" hidden="false" customHeight="false" outlineLevel="0" collapsed="false">
      <c r="A131" s="5" t="str">
        <f aca="false">IF(Registro!A131="","",Registro!A131)</f>
        <v/>
      </c>
      <c r="B131" s="5" t="str">
        <f aca="false">IF(Registro!A131="","",Registro!B131)</f>
        <v/>
      </c>
      <c r="C131" s="5" t="str">
        <f aca="false">IF(Registro!A131="","",Registro!C131)</f>
        <v/>
      </c>
      <c r="D131" s="5" t="str">
        <f aca="false">IF(Registro!A131="","",Registro!E131)</f>
        <v/>
      </c>
      <c r="E131" s="5" t="str">
        <f aca="false">IF(Registro!A131="","",Registro!G131)</f>
        <v/>
      </c>
      <c r="F131" s="5" t="str">
        <f aca="false">IF(Registro!A131="","",Registro!D131)</f>
        <v/>
      </c>
      <c r="G131" s="5" t="str">
        <f aca="false">IF(Registro!A131="","",Registro!T131)</f>
        <v/>
      </c>
      <c r="H131" s="5" t="str">
        <f aca="false">IF(Registro!A131="","",IF(Registro!D131="Realizada",Registro!L131,0))</f>
        <v/>
      </c>
      <c r="I131" s="11" t="str">
        <f aca="false">IF(OR(Registro!A131="",N(G131)=0),"",H131/G131)</f>
        <v/>
      </c>
    </row>
    <row r="132" customFormat="false" ht="15" hidden="false" customHeight="false" outlineLevel="0" collapsed="false">
      <c r="A132" s="5" t="str">
        <f aca="false">IF(Registro!A132="","",Registro!A132)</f>
        <v/>
      </c>
      <c r="B132" s="5" t="str">
        <f aca="false">IF(Registro!A132="","",Registro!B132)</f>
        <v/>
      </c>
      <c r="C132" s="5" t="str">
        <f aca="false">IF(Registro!A132="","",Registro!C132)</f>
        <v/>
      </c>
      <c r="D132" s="5" t="str">
        <f aca="false">IF(Registro!A132="","",Registro!E132)</f>
        <v/>
      </c>
      <c r="E132" s="5" t="str">
        <f aca="false">IF(Registro!A132="","",Registro!G132)</f>
        <v/>
      </c>
      <c r="F132" s="5" t="str">
        <f aca="false">IF(Registro!A132="","",Registro!D132)</f>
        <v/>
      </c>
      <c r="G132" s="5" t="str">
        <f aca="false">IF(Registro!A132="","",Registro!T132)</f>
        <v/>
      </c>
      <c r="H132" s="5" t="str">
        <f aca="false">IF(Registro!A132="","",IF(Registro!D132="Realizada",Registro!L132,0))</f>
        <v/>
      </c>
      <c r="I132" s="11" t="str">
        <f aca="false">IF(OR(Registro!A132="",N(G132)=0),"",H132/G132)</f>
        <v/>
      </c>
    </row>
    <row r="133" customFormat="false" ht="15" hidden="false" customHeight="false" outlineLevel="0" collapsed="false">
      <c r="A133" s="5" t="str">
        <f aca="false">IF(Registro!A133="","",Registro!A133)</f>
        <v/>
      </c>
      <c r="B133" s="5" t="str">
        <f aca="false">IF(Registro!A133="","",Registro!B133)</f>
        <v/>
      </c>
      <c r="C133" s="5" t="str">
        <f aca="false">IF(Registro!A133="","",Registro!C133)</f>
        <v/>
      </c>
      <c r="D133" s="5" t="str">
        <f aca="false">IF(Registro!A133="","",Registro!E133)</f>
        <v/>
      </c>
      <c r="E133" s="5" t="str">
        <f aca="false">IF(Registro!A133="","",Registro!G133)</f>
        <v/>
      </c>
      <c r="F133" s="5" t="str">
        <f aca="false">IF(Registro!A133="","",Registro!D133)</f>
        <v/>
      </c>
      <c r="G133" s="5" t="str">
        <f aca="false">IF(Registro!A133="","",Registro!T133)</f>
        <v/>
      </c>
      <c r="H133" s="5" t="str">
        <f aca="false">IF(Registro!A133="","",IF(Registro!D133="Realizada",Registro!L133,0))</f>
        <v/>
      </c>
      <c r="I133" s="11" t="str">
        <f aca="false">IF(OR(Registro!A133="",N(G133)=0),"",H133/G133)</f>
        <v/>
      </c>
    </row>
    <row r="134" customFormat="false" ht="15" hidden="false" customHeight="false" outlineLevel="0" collapsed="false">
      <c r="A134" s="5" t="str">
        <f aca="false">IF(Registro!A134="","",Registro!A134)</f>
        <v/>
      </c>
      <c r="B134" s="5" t="str">
        <f aca="false">IF(Registro!A134="","",Registro!B134)</f>
        <v/>
      </c>
      <c r="C134" s="5" t="str">
        <f aca="false">IF(Registro!A134="","",Registro!C134)</f>
        <v/>
      </c>
      <c r="D134" s="5" t="str">
        <f aca="false">IF(Registro!A134="","",Registro!E134)</f>
        <v/>
      </c>
      <c r="E134" s="5" t="str">
        <f aca="false">IF(Registro!A134="","",Registro!G134)</f>
        <v/>
      </c>
      <c r="F134" s="5" t="str">
        <f aca="false">IF(Registro!A134="","",Registro!D134)</f>
        <v/>
      </c>
      <c r="G134" s="5" t="str">
        <f aca="false">IF(Registro!A134="","",Registro!T134)</f>
        <v/>
      </c>
      <c r="H134" s="5" t="str">
        <f aca="false">IF(Registro!A134="","",IF(Registro!D134="Realizada",Registro!L134,0))</f>
        <v/>
      </c>
      <c r="I134" s="11" t="str">
        <f aca="false">IF(OR(Registro!A134="",N(G134)=0),"",H134/G134)</f>
        <v/>
      </c>
    </row>
    <row r="135" customFormat="false" ht="15" hidden="false" customHeight="false" outlineLevel="0" collapsed="false">
      <c r="A135" s="5" t="str">
        <f aca="false">IF(Registro!A135="","",Registro!A135)</f>
        <v/>
      </c>
      <c r="B135" s="5" t="str">
        <f aca="false">IF(Registro!A135="","",Registro!B135)</f>
        <v/>
      </c>
      <c r="C135" s="5" t="str">
        <f aca="false">IF(Registro!A135="","",Registro!C135)</f>
        <v/>
      </c>
      <c r="D135" s="5" t="str">
        <f aca="false">IF(Registro!A135="","",Registro!E135)</f>
        <v/>
      </c>
      <c r="E135" s="5" t="str">
        <f aca="false">IF(Registro!A135="","",Registro!G135)</f>
        <v/>
      </c>
      <c r="F135" s="5" t="str">
        <f aca="false">IF(Registro!A135="","",Registro!D135)</f>
        <v/>
      </c>
      <c r="G135" s="5" t="str">
        <f aca="false">IF(Registro!A135="","",Registro!T135)</f>
        <v/>
      </c>
      <c r="H135" s="5" t="str">
        <f aca="false">IF(Registro!A135="","",IF(Registro!D135="Realizada",Registro!L135,0))</f>
        <v/>
      </c>
      <c r="I135" s="11" t="str">
        <f aca="false">IF(OR(Registro!A135="",N(G135)=0),"",H135/G135)</f>
        <v/>
      </c>
    </row>
    <row r="136" customFormat="false" ht="15" hidden="false" customHeight="false" outlineLevel="0" collapsed="false">
      <c r="A136" s="5" t="str">
        <f aca="false">IF(Registro!A136="","",Registro!A136)</f>
        <v/>
      </c>
      <c r="B136" s="5" t="str">
        <f aca="false">IF(Registro!A136="","",Registro!B136)</f>
        <v/>
      </c>
      <c r="C136" s="5" t="str">
        <f aca="false">IF(Registro!A136="","",Registro!C136)</f>
        <v/>
      </c>
      <c r="D136" s="5" t="str">
        <f aca="false">IF(Registro!A136="","",Registro!E136)</f>
        <v/>
      </c>
      <c r="E136" s="5" t="str">
        <f aca="false">IF(Registro!A136="","",Registro!G136)</f>
        <v/>
      </c>
      <c r="F136" s="5" t="str">
        <f aca="false">IF(Registro!A136="","",Registro!D136)</f>
        <v/>
      </c>
      <c r="G136" s="5" t="str">
        <f aca="false">IF(Registro!A136="","",Registro!T136)</f>
        <v/>
      </c>
      <c r="H136" s="5" t="str">
        <f aca="false">IF(Registro!A136="","",IF(Registro!D136="Realizada",Registro!L136,0))</f>
        <v/>
      </c>
      <c r="I136" s="11" t="str">
        <f aca="false">IF(OR(Registro!A136="",N(G136)=0),"",H136/G136)</f>
        <v/>
      </c>
    </row>
    <row r="137" customFormat="false" ht="15" hidden="false" customHeight="false" outlineLevel="0" collapsed="false">
      <c r="A137" s="5" t="str">
        <f aca="false">IF(Registro!A137="","",Registro!A137)</f>
        <v/>
      </c>
      <c r="B137" s="5" t="str">
        <f aca="false">IF(Registro!A137="","",Registro!B137)</f>
        <v/>
      </c>
      <c r="C137" s="5" t="str">
        <f aca="false">IF(Registro!A137="","",Registro!C137)</f>
        <v/>
      </c>
      <c r="D137" s="5" t="str">
        <f aca="false">IF(Registro!A137="","",Registro!E137)</f>
        <v/>
      </c>
      <c r="E137" s="5" t="str">
        <f aca="false">IF(Registro!A137="","",Registro!G137)</f>
        <v/>
      </c>
      <c r="F137" s="5" t="str">
        <f aca="false">IF(Registro!A137="","",Registro!D137)</f>
        <v/>
      </c>
      <c r="G137" s="5" t="str">
        <f aca="false">IF(Registro!A137="","",Registro!T137)</f>
        <v/>
      </c>
      <c r="H137" s="5" t="str">
        <f aca="false">IF(Registro!A137="","",IF(Registro!D137="Realizada",Registro!L137,0))</f>
        <v/>
      </c>
      <c r="I137" s="11" t="str">
        <f aca="false">IF(OR(Registro!A137="",N(G137)=0),"",H137/G137)</f>
        <v/>
      </c>
    </row>
    <row r="138" customFormat="false" ht="15" hidden="false" customHeight="false" outlineLevel="0" collapsed="false">
      <c r="A138" s="5" t="str">
        <f aca="false">IF(Registro!A138="","",Registro!A138)</f>
        <v/>
      </c>
      <c r="B138" s="5" t="str">
        <f aca="false">IF(Registro!A138="","",Registro!B138)</f>
        <v/>
      </c>
      <c r="C138" s="5" t="str">
        <f aca="false">IF(Registro!A138="","",Registro!C138)</f>
        <v/>
      </c>
      <c r="D138" s="5" t="str">
        <f aca="false">IF(Registro!A138="","",Registro!E138)</f>
        <v/>
      </c>
      <c r="E138" s="5" t="str">
        <f aca="false">IF(Registro!A138="","",Registro!G138)</f>
        <v/>
      </c>
      <c r="F138" s="5" t="str">
        <f aca="false">IF(Registro!A138="","",Registro!D138)</f>
        <v/>
      </c>
      <c r="G138" s="5" t="str">
        <f aca="false">IF(Registro!A138="","",Registro!T138)</f>
        <v/>
      </c>
      <c r="H138" s="5" t="str">
        <f aca="false">IF(Registro!A138="","",IF(Registro!D138="Realizada",Registro!L138,0))</f>
        <v/>
      </c>
      <c r="I138" s="11" t="str">
        <f aca="false">IF(OR(Registro!A138="",N(G138)=0),"",H138/G138)</f>
        <v/>
      </c>
    </row>
    <row r="139" customFormat="false" ht="15" hidden="false" customHeight="false" outlineLevel="0" collapsed="false">
      <c r="A139" s="5" t="str">
        <f aca="false">IF(Registro!A139="","",Registro!A139)</f>
        <v/>
      </c>
      <c r="B139" s="5" t="str">
        <f aca="false">IF(Registro!A139="","",Registro!B139)</f>
        <v/>
      </c>
      <c r="C139" s="5" t="str">
        <f aca="false">IF(Registro!A139="","",Registro!C139)</f>
        <v/>
      </c>
      <c r="D139" s="5" t="str">
        <f aca="false">IF(Registro!A139="","",Registro!E139)</f>
        <v/>
      </c>
      <c r="E139" s="5" t="str">
        <f aca="false">IF(Registro!A139="","",Registro!G139)</f>
        <v/>
      </c>
      <c r="F139" s="5" t="str">
        <f aca="false">IF(Registro!A139="","",Registro!D139)</f>
        <v/>
      </c>
      <c r="G139" s="5" t="str">
        <f aca="false">IF(Registro!A139="","",Registro!T139)</f>
        <v/>
      </c>
      <c r="H139" s="5" t="str">
        <f aca="false">IF(Registro!A139="","",IF(Registro!D139="Realizada",Registro!L139,0))</f>
        <v/>
      </c>
      <c r="I139" s="11" t="str">
        <f aca="false">IF(OR(Registro!A139="",N(G139)=0),"",H139/G139)</f>
        <v/>
      </c>
    </row>
    <row r="140" customFormat="false" ht="15" hidden="false" customHeight="false" outlineLevel="0" collapsed="false">
      <c r="A140" s="5" t="str">
        <f aca="false">IF(Registro!A140="","",Registro!A140)</f>
        <v/>
      </c>
      <c r="B140" s="5" t="str">
        <f aca="false">IF(Registro!A140="","",Registro!B140)</f>
        <v/>
      </c>
      <c r="C140" s="5" t="str">
        <f aca="false">IF(Registro!A140="","",Registro!C140)</f>
        <v/>
      </c>
      <c r="D140" s="5" t="str">
        <f aca="false">IF(Registro!A140="","",Registro!E140)</f>
        <v/>
      </c>
      <c r="E140" s="5" t="str">
        <f aca="false">IF(Registro!A140="","",Registro!G140)</f>
        <v/>
      </c>
      <c r="F140" s="5" t="str">
        <f aca="false">IF(Registro!A140="","",Registro!D140)</f>
        <v/>
      </c>
      <c r="G140" s="5" t="str">
        <f aca="false">IF(Registro!A140="","",Registro!T140)</f>
        <v/>
      </c>
      <c r="H140" s="5" t="str">
        <f aca="false">IF(Registro!A140="","",IF(Registro!D140="Realizada",Registro!L140,0))</f>
        <v/>
      </c>
      <c r="I140" s="11" t="str">
        <f aca="false">IF(OR(Registro!A140="",N(G140)=0),"",H140/G140)</f>
        <v/>
      </c>
    </row>
    <row r="141" customFormat="false" ht="15" hidden="false" customHeight="false" outlineLevel="0" collapsed="false">
      <c r="A141" s="5" t="str">
        <f aca="false">IF(Registro!A141="","",Registro!A141)</f>
        <v/>
      </c>
      <c r="B141" s="5" t="str">
        <f aca="false">IF(Registro!A141="","",Registro!B141)</f>
        <v/>
      </c>
      <c r="C141" s="5" t="str">
        <f aca="false">IF(Registro!A141="","",Registro!C141)</f>
        <v/>
      </c>
      <c r="D141" s="5" t="str">
        <f aca="false">IF(Registro!A141="","",Registro!E141)</f>
        <v/>
      </c>
      <c r="E141" s="5" t="str">
        <f aca="false">IF(Registro!A141="","",Registro!G141)</f>
        <v/>
      </c>
      <c r="F141" s="5" t="str">
        <f aca="false">IF(Registro!A141="","",Registro!D141)</f>
        <v/>
      </c>
      <c r="G141" s="5" t="str">
        <f aca="false">IF(Registro!A141="","",Registro!T141)</f>
        <v/>
      </c>
      <c r="H141" s="5" t="str">
        <f aca="false">IF(Registro!A141="","",IF(Registro!D141="Realizada",Registro!L141,0))</f>
        <v/>
      </c>
      <c r="I141" s="11" t="str">
        <f aca="false">IF(OR(Registro!A141="",N(G141)=0),"",H141/G141)</f>
        <v/>
      </c>
    </row>
    <row r="142" customFormat="false" ht="15" hidden="false" customHeight="false" outlineLevel="0" collapsed="false">
      <c r="A142" s="5" t="str">
        <f aca="false">IF(Registro!A142="","",Registro!A142)</f>
        <v/>
      </c>
      <c r="B142" s="5" t="str">
        <f aca="false">IF(Registro!A142="","",Registro!B142)</f>
        <v/>
      </c>
      <c r="C142" s="5" t="str">
        <f aca="false">IF(Registro!A142="","",Registro!C142)</f>
        <v/>
      </c>
      <c r="D142" s="5" t="str">
        <f aca="false">IF(Registro!A142="","",Registro!E142)</f>
        <v/>
      </c>
      <c r="E142" s="5" t="str">
        <f aca="false">IF(Registro!A142="","",Registro!G142)</f>
        <v/>
      </c>
      <c r="F142" s="5" t="str">
        <f aca="false">IF(Registro!A142="","",Registro!D142)</f>
        <v/>
      </c>
      <c r="G142" s="5" t="str">
        <f aca="false">IF(Registro!A142="","",Registro!T142)</f>
        <v/>
      </c>
      <c r="H142" s="5" t="str">
        <f aca="false">IF(Registro!A142="","",IF(Registro!D142="Realizada",Registro!L142,0))</f>
        <v/>
      </c>
      <c r="I142" s="11" t="str">
        <f aca="false">IF(OR(Registro!A142="",N(G142)=0),"",H142/G142)</f>
        <v/>
      </c>
    </row>
    <row r="143" customFormat="false" ht="15" hidden="false" customHeight="false" outlineLevel="0" collapsed="false">
      <c r="A143" s="5" t="str">
        <f aca="false">IF(Registro!A143="","",Registro!A143)</f>
        <v/>
      </c>
      <c r="B143" s="5" t="str">
        <f aca="false">IF(Registro!A143="","",Registro!B143)</f>
        <v/>
      </c>
      <c r="C143" s="5" t="str">
        <f aca="false">IF(Registro!A143="","",Registro!C143)</f>
        <v/>
      </c>
      <c r="D143" s="5" t="str">
        <f aca="false">IF(Registro!A143="","",Registro!E143)</f>
        <v/>
      </c>
      <c r="E143" s="5" t="str">
        <f aca="false">IF(Registro!A143="","",Registro!G143)</f>
        <v/>
      </c>
      <c r="F143" s="5" t="str">
        <f aca="false">IF(Registro!A143="","",Registro!D143)</f>
        <v/>
      </c>
      <c r="G143" s="5" t="str">
        <f aca="false">IF(Registro!A143="","",Registro!T143)</f>
        <v/>
      </c>
      <c r="H143" s="5" t="str">
        <f aca="false">IF(Registro!A143="","",IF(Registro!D143="Realizada",Registro!L143,0))</f>
        <v/>
      </c>
      <c r="I143" s="11" t="str">
        <f aca="false">IF(OR(Registro!A143="",N(G143)=0),"",H143/G143)</f>
        <v/>
      </c>
    </row>
    <row r="144" customFormat="false" ht="15" hidden="false" customHeight="false" outlineLevel="0" collapsed="false">
      <c r="A144" s="5" t="str">
        <f aca="false">IF(Registro!A144="","",Registro!A144)</f>
        <v/>
      </c>
      <c r="B144" s="5" t="str">
        <f aca="false">IF(Registro!A144="","",Registro!B144)</f>
        <v/>
      </c>
      <c r="C144" s="5" t="str">
        <f aca="false">IF(Registro!A144="","",Registro!C144)</f>
        <v/>
      </c>
      <c r="D144" s="5" t="str">
        <f aca="false">IF(Registro!A144="","",Registro!E144)</f>
        <v/>
      </c>
      <c r="E144" s="5" t="str">
        <f aca="false">IF(Registro!A144="","",Registro!G144)</f>
        <v/>
      </c>
      <c r="F144" s="5" t="str">
        <f aca="false">IF(Registro!A144="","",Registro!D144)</f>
        <v/>
      </c>
      <c r="G144" s="5" t="str">
        <f aca="false">IF(Registro!A144="","",Registro!T144)</f>
        <v/>
      </c>
      <c r="H144" s="5" t="str">
        <f aca="false">IF(Registro!A144="","",IF(Registro!D144="Realizada",Registro!L144,0))</f>
        <v/>
      </c>
      <c r="I144" s="11" t="str">
        <f aca="false">IF(OR(Registro!A144="",N(G144)=0),"",H144/G144)</f>
        <v/>
      </c>
    </row>
    <row r="145" customFormat="false" ht="15" hidden="false" customHeight="false" outlineLevel="0" collapsed="false">
      <c r="A145" s="5" t="str">
        <f aca="false">IF(Registro!A145="","",Registro!A145)</f>
        <v/>
      </c>
      <c r="B145" s="5" t="str">
        <f aca="false">IF(Registro!A145="","",Registro!B145)</f>
        <v/>
      </c>
      <c r="C145" s="5" t="str">
        <f aca="false">IF(Registro!A145="","",Registro!C145)</f>
        <v/>
      </c>
      <c r="D145" s="5" t="str">
        <f aca="false">IF(Registro!A145="","",Registro!E145)</f>
        <v/>
      </c>
      <c r="E145" s="5" t="str">
        <f aca="false">IF(Registro!A145="","",Registro!G145)</f>
        <v/>
      </c>
      <c r="F145" s="5" t="str">
        <f aca="false">IF(Registro!A145="","",Registro!D145)</f>
        <v/>
      </c>
      <c r="G145" s="5" t="str">
        <f aca="false">IF(Registro!A145="","",Registro!T145)</f>
        <v/>
      </c>
      <c r="H145" s="5" t="str">
        <f aca="false">IF(Registro!A145="","",IF(Registro!D145="Realizada",Registro!L145,0))</f>
        <v/>
      </c>
      <c r="I145" s="11" t="str">
        <f aca="false">IF(OR(Registro!A145="",N(G145)=0),"",H145/G145)</f>
        <v/>
      </c>
    </row>
    <row r="146" customFormat="false" ht="15" hidden="false" customHeight="false" outlineLevel="0" collapsed="false">
      <c r="A146" s="5" t="str">
        <f aca="false">IF(Registro!A146="","",Registro!A146)</f>
        <v/>
      </c>
      <c r="B146" s="5" t="str">
        <f aca="false">IF(Registro!A146="","",Registro!B146)</f>
        <v/>
      </c>
      <c r="C146" s="5" t="str">
        <f aca="false">IF(Registro!A146="","",Registro!C146)</f>
        <v/>
      </c>
      <c r="D146" s="5" t="str">
        <f aca="false">IF(Registro!A146="","",Registro!E146)</f>
        <v/>
      </c>
      <c r="E146" s="5" t="str">
        <f aca="false">IF(Registro!A146="","",Registro!G146)</f>
        <v/>
      </c>
      <c r="F146" s="5" t="str">
        <f aca="false">IF(Registro!A146="","",Registro!D146)</f>
        <v/>
      </c>
      <c r="G146" s="5" t="str">
        <f aca="false">IF(Registro!A146="","",Registro!T146)</f>
        <v/>
      </c>
      <c r="H146" s="5" t="str">
        <f aca="false">IF(Registro!A146="","",IF(Registro!D146="Realizada",Registro!L146,0))</f>
        <v/>
      </c>
      <c r="I146" s="11" t="str">
        <f aca="false">IF(OR(Registro!A146="",N(G146)=0),"",H146/G146)</f>
        <v/>
      </c>
    </row>
    <row r="147" customFormat="false" ht="15" hidden="false" customHeight="false" outlineLevel="0" collapsed="false">
      <c r="A147" s="5" t="str">
        <f aca="false">IF(Registro!A147="","",Registro!A147)</f>
        <v/>
      </c>
      <c r="B147" s="5" t="str">
        <f aca="false">IF(Registro!A147="","",Registro!B147)</f>
        <v/>
      </c>
      <c r="C147" s="5" t="str">
        <f aca="false">IF(Registro!A147="","",Registro!C147)</f>
        <v/>
      </c>
      <c r="D147" s="5" t="str">
        <f aca="false">IF(Registro!A147="","",Registro!E147)</f>
        <v/>
      </c>
      <c r="E147" s="5" t="str">
        <f aca="false">IF(Registro!A147="","",Registro!G147)</f>
        <v/>
      </c>
      <c r="F147" s="5" t="str">
        <f aca="false">IF(Registro!A147="","",Registro!D147)</f>
        <v/>
      </c>
      <c r="G147" s="5" t="str">
        <f aca="false">IF(Registro!A147="","",Registro!T147)</f>
        <v/>
      </c>
      <c r="H147" s="5" t="str">
        <f aca="false">IF(Registro!A147="","",IF(Registro!D147="Realizada",Registro!L147,0))</f>
        <v/>
      </c>
      <c r="I147" s="11" t="str">
        <f aca="false">IF(OR(Registro!A147="",N(G147)=0),"",H147/G147)</f>
        <v/>
      </c>
    </row>
    <row r="148" customFormat="false" ht="15" hidden="false" customHeight="false" outlineLevel="0" collapsed="false">
      <c r="A148" s="5" t="str">
        <f aca="false">IF(Registro!A148="","",Registro!A148)</f>
        <v/>
      </c>
      <c r="B148" s="5" t="str">
        <f aca="false">IF(Registro!A148="","",Registro!B148)</f>
        <v/>
      </c>
      <c r="C148" s="5" t="str">
        <f aca="false">IF(Registro!A148="","",Registro!C148)</f>
        <v/>
      </c>
      <c r="D148" s="5" t="str">
        <f aca="false">IF(Registro!A148="","",Registro!E148)</f>
        <v/>
      </c>
      <c r="E148" s="5" t="str">
        <f aca="false">IF(Registro!A148="","",Registro!G148)</f>
        <v/>
      </c>
      <c r="F148" s="5" t="str">
        <f aca="false">IF(Registro!A148="","",Registro!D148)</f>
        <v/>
      </c>
      <c r="G148" s="5" t="str">
        <f aca="false">IF(Registro!A148="","",Registro!T148)</f>
        <v/>
      </c>
      <c r="H148" s="5" t="str">
        <f aca="false">IF(Registro!A148="","",IF(Registro!D148="Realizada",Registro!L148,0))</f>
        <v/>
      </c>
      <c r="I148" s="11" t="str">
        <f aca="false">IF(OR(Registro!A148="",N(G148)=0),"",H148/G148)</f>
        <v/>
      </c>
    </row>
    <row r="149" customFormat="false" ht="15" hidden="false" customHeight="false" outlineLevel="0" collapsed="false">
      <c r="A149" s="5" t="str">
        <f aca="false">IF(Registro!A149="","",Registro!A149)</f>
        <v/>
      </c>
      <c r="B149" s="5" t="str">
        <f aca="false">IF(Registro!A149="","",Registro!B149)</f>
        <v/>
      </c>
      <c r="C149" s="5" t="str">
        <f aca="false">IF(Registro!A149="","",Registro!C149)</f>
        <v/>
      </c>
      <c r="D149" s="5" t="str">
        <f aca="false">IF(Registro!A149="","",Registro!E149)</f>
        <v/>
      </c>
      <c r="E149" s="5" t="str">
        <f aca="false">IF(Registro!A149="","",Registro!G149)</f>
        <v/>
      </c>
      <c r="F149" s="5" t="str">
        <f aca="false">IF(Registro!A149="","",Registro!D149)</f>
        <v/>
      </c>
      <c r="G149" s="5" t="str">
        <f aca="false">IF(Registro!A149="","",Registro!T149)</f>
        <v/>
      </c>
      <c r="H149" s="5" t="str">
        <f aca="false">IF(Registro!A149="","",IF(Registro!D149="Realizada",Registro!L149,0))</f>
        <v/>
      </c>
      <c r="I149" s="11" t="str">
        <f aca="false">IF(OR(Registro!A149="",N(G149)=0),"",H149/G149)</f>
        <v/>
      </c>
    </row>
    <row r="150" customFormat="false" ht="15" hidden="false" customHeight="false" outlineLevel="0" collapsed="false">
      <c r="A150" s="5" t="str">
        <f aca="false">IF(Registro!A150="","",Registro!A150)</f>
        <v/>
      </c>
      <c r="B150" s="5" t="str">
        <f aca="false">IF(Registro!A150="","",Registro!B150)</f>
        <v/>
      </c>
      <c r="C150" s="5" t="str">
        <f aca="false">IF(Registro!A150="","",Registro!C150)</f>
        <v/>
      </c>
      <c r="D150" s="5" t="str">
        <f aca="false">IF(Registro!A150="","",Registro!E150)</f>
        <v/>
      </c>
      <c r="E150" s="5" t="str">
        <f aca="false">IF(Registro!A150="","",Registro!G150)</f>
        <v/>
      </c>
      <c r="F150" s="5" t="str">
        <f aca="false">IF(Registro!A150="","",Registro!D150)</f>
        <v/>
      </c>
      <c r="G150" s="5" t="str">
        <f aca="false">IF(Registro!A150="","",Registro!T150)</f>
        <v/>
      </c>
      <c r="H150" s="5" t="str">
        <f aca="false">IF(Registro!A150="","",IF(Registro!D150="Realizada",Registro!L150,0))</f>
        <v/>
      </c>
      <c r="I150" s="11" t="str">
        <f aca="false">IF(OR(Registro!A150="",N(G150)=0),"",H150/G150)</f>
        <v/>
      </c>
    </row>
    <row r="151" customFormat="false" ht="15" hidden="false" customHeight="false" outlineLevel="0" collapsed="false">
      <c r="A151" s="5" t="str">
        <f aca="false">IF(Registro!A151="","",Registro!A151)</f>
        <v/>
      </c>
      <c r="B151" s="5" t="str">
        <f aca="false">IF(Registro!A151="","",Registro!B151)</f>
        <v/>
      </c>
      <c r="C151" s="5" t="str">
        <f aca="false">IF(Registro!A151="","",Registro!C151)</f>
        <v/>
      </c>
      <c r="D151" s="5" t="str">
        <f aca="false">IF(Registro!A151="","",Registro!E151)</f>
        <v/>
      </c>
      <c r="E151" s="5" t="str">
        <f aca="false">IF(Registro!A151="","",Registro!G151)</f>
        <v/>
      </c>
      <c r="F151" s="5" t="str">
        <f aca="false">IF(Registro!A151="","",Registro!D151)</f>
        <v/>
      </c>
      <c r="G151" s="5" t="str">
        <f aca="false">IF(Registro!A151="","",Registro!T151)</f>
        <v/>
      </c>
      <c r="H151" s="5" t="str">
        <f aca="false">IF(Registro!A151="","",IF(Registro!D151="Realizada",Registro!L151,0))</f>
        <v/>
      </c>
      <c r="I151" s="11" t="str">
        <f aca="false">IF(OR(Registro!A151="",N(G151)=0),"",H151/G151)</f>
        <v/>
      </c>
    </row>
    <row r="152" customFormat="false" ht="15" hidden="false" customHeight="false" outlineLevel="0" collapsed="false">
      <c r="A152" s="5" t="str">
        <f aca="false">IF(Registro!A152="","",Registro!A152)</f>
        <v/>
      </c>
      <c r="B152" s="5" t="str">
        <f aca="false">IF(Registro!A152="","",Registro!B152)</f>
        <v/>
      </c>
      <c r="C152" s="5" t="str">
        <f aca="false">IF(Registro!A152="","",Registro!C152)</f>
        <v/>
      </c>
      <c r="D152" s="5" t="str">
        <f aca="false">IF(Registro!A152="","",Registro!E152)</f>
        <v/>
      </c>
      <c r="E152" s="5" t="str">
        <f aca="false">IF(Registro!A152="","",Registro!G152)</f>
        <v/>
      </c>
      <c r="F152" s="5" t="str">
        <f aca="false">IF(Registro!A152="","",Registro!D152)</f>
        <v/>
      </c>
      <c r="G152" s="5" t="str">
        <f aca="false">IF(Registro!A152="","",Registro!T152)</f>
        <v/>
      </c>
      <c r="H152" s="5" t="str">
        <f aca="false">IF(Registro!A152="","",IF(Registro!D152="Realizada",Registro!L152,0))</f>
        <v/>
      </c>
      <c r="I152" s="11" t="str">
        <f aca="false">IF(OR(Registro!A152="",N(G152)=0),"",H152/G152)</f>
        <v/>
      </c>
    </row>
    <row r="153" customFormat="false" ht="15" hidden="false" customHeight="false" outlineLevel="0" collapsed="false">
      <c r="A153" s="5" t="str">
        <f aca="false">IF(Registro!A153="","",Registro!A153)</f>
        <v/>
      </c>
      <c r="B153" s="5" t="str">
        <f aca="false">IF(Registro!A153="","",Registro!B153)</f>
        <v/>
      </c>
      <c r="C153" s="5" t="str">
        <f aca="false">IF(Registro!A153="","",Registro!C153)</f>
        <v/>
      </c>
      <c r="D153" s="5" t="str">
        <f aca="false">IF(Registro!A153="","",Registro!E153)</f>
        <v/>
      </c>
      <c r="E153" s="5" t="str">
        <f aca="false">IF(Registro!A153="","",Registro!G153)</f>
        <v/>
      </c>
      <c r="F153" s="5" t="str">
        <f aca="false">IF(Registro!A153="","",Registro!D153)</f>
        <v/>
      </c>
      <c r="G153" s="5" t="str">
        <f aca="false">IF(Registro!A153="","",Registro!T153)</f>
        <v/>
      </c>
      <c r="H153" s="5" t="str">
        <f aca="false">IF(Registro!A153="","",IF(Registro!D153="Realizada",Registro!L153,0))</f>
        <v/>
      </c>
      <c r="I153" s="11" t="str">
        <f aca="false">IF(OR(Registro!A153="",N(G153)=0),"",H153/G153)</f>
        <v/>
      </c>
    </row>
    <row r="154" customFormat="false" ht="15" hidden="false" customHeight="false" outlineLevel="0" collapsed="false">
      <c r="A154" s="5" t="str">
        <f aca="false">IF(Registro!A154="","",Registro!A154)</f>
        <v/>
      </c>
      <c r="B154" s="5" t="str">
        <f aca="false">IF(Registro!A154="","",Registro!B154)</f>
        <v/>
      </c>
      <c r="C154" s="5" t="str">
        <f aca="false">IF(Registro!A154="","",Registro!C154)</f>
        <v/>
      </c>
      <c r="D154" s="5" t="str">
        <f aca="false">IF(Registro!A154="","",Registro!E154)</f>
        <v/>
      </c>
      <c r="E154" s="5" t="str">
        <f aca="false">IF(Registro!A154="","",Registro!G154)</f>
        <v/>
      </c>
      <c r="F154" s="5" t="str">
        <f aca="false">IF(Registro!A154="","",Registro!D154)</f>
        <v/>
      </c>
      <c r="G154" s="5" t="str">
        <f aca="false">IF(Registro!A154="","",Registro!T154)</f>
        <v/>
      </c>
      <c r="H154" s="5" t="str">
        <f aca="false">IF(Registro!A154="","",IF(Registro!D154="Realizada",Registro!L154,0))</f>
        <v/>
      </c>
      <c r="I154" s="11" t="str">
        <f aca="false">IF(OR(Registro!A154="",N(G154)=0),"",H154/G154)</f>
        <v/>
      </c>
    </row>
    <row r="155" customFormat="false" ht="15" hidden="false" customHeight="false" outlineLevel="0" collapsed="false">
      <c r="A155" s="5" t="str">
        <f aca="false">IF(Registro!A155="","",Registro!A155)</f>
        <v/>
      </c>
      <c r="B155" s="5" t="str">
        <f aca="false">IF(Registro!A155="","",Registro!B155)</f>
        <v/>
      </c>
      <c r="C155" s="5" t="str">
        <f aca="false">IF(Registro!A155="","",Registro!C155)</f>
        <v/>
      </c>
      <c r="D155" s="5" t="str">
        <f aca="false">IF(Registro!A155="","",Registro!E155)</f>
        <v/>
      </c>
      <c r="E155" s="5" t="str">
        <f aca="false">IF(Registro!A155="","",Registro!G155)</f>
        <v/>
      </c>
      <c r="F155" s="5" t="str">
        <f aca="false">IF(Registro!A155="","",Registro!D155)</f>
        <v/>
      </c>
      <c r="G155" s="5" t="str">
        <f aca="false">IF(Registro!A155="","",Registro!T155)</f>
        <v/>
      </c>
      <c r="H155" s="5" t="str">
        <f aca="false">IF(Registro!A155="","",IF(Registro!D155="Realizada",Registro!L155,0))</f>
        <v/>
      </c>
      <c r="I155" s="11" t="str">
        <f aca="false">IF(OR(Registro!A155="",N(G155)=0),"",H155/G155)</f>
        <v/>
      </c>
    </row>
    <row r="156" customFormat="false" ht="15" hidden="false" customHeight="false" outlineLevel="0" collapsed="false">
      <c r="A156" s="5" t="str">
        <f aca="false">IF(Registro!A156="","",Registro!A156)</f>
        <v/>
      </c>
      <c r="B156" s="5" t="str">
        <f aca="false">IF(Registro!A156="","",Registro!B156)</f>
        <v/>
      </c>
      <c r="C156" s="5" t="str">
        <f aca="false">IF(Registro!A156="","",Registro!C156)</f>
        <v/>
      </c>
      <c r="D156" s="5" t="str">
        <f aca="false">IF(Registro!A156="","",Registro!E156)</f>
        <v/>
      </c>
      <c r="E156" s="5" t="str">
        <f aca="false">IF(Registro!A156="","",Registro!G156)</f>
        <v/>
      </c>
      <c r="F156" s="5" t="str">
        <f aca="false">IF(Registro!A156="","",Registro!D156)</f>
        <v/>
      </c>
      <c r="G156" s="5" t="str">
        <f aca="false">IF(Registro!A156="","",Registro!T156)</f>
        <v/>
      </c>
      <c r="H156" s="5" t="str">
        <f aca="false">IF(Registro!A156="","",IF(Registro!D156="Realizada",Registro!L156,0))</f>
        <v/>
      </c>
      <c r="I156" s="11" t="str">
        <f aca="false">IF(OR(Registro!A156="",N(G156)=0),"",H156/G156)</f>
        <v/>
      </c>
    </row>
    <row r="157" customFormat="false" ht="15" hidden="false" customHeight="false" outlineLevel="0" collapsed="false">
      <c r="A157" s="5" t="str">
        <f aca="false">IF(Registro!A157="","",Registro!A157)</f>
        <v/>
      </c>
      <c r="B157" s="5" t="str">
        <f aca="false">IF(Registro!A157="","",Registro!B157)</f>
        <v/>
      </c>
      <c r="C157" s="5" t="str">
        <f aca="false">IF(Registro!A157="","",Registro!C157)</f>
        <v/>
      </c>
      <c r="D157" s="5" t="str">
        <f aca="false">IF(Registro!A157="","",Registro!E157)</f>
        <v/>
      </c>
      <c r="E157" s="5" t="str">
        <f aca="false">IF(Registro!A157="","",Registro!G157)</f>
        <v/>
      </c>
      <c r="F157" s="5" t="str">
        <f aca="false">IF(Registro!A157="","",Registro!D157)</f>
        <v/>
      </c>
      <c r="G157" s="5" t="str">
        <f aca="false">IF(Registro!A157="","",Registro!T157)</f>
        <v/>
      </c>
      <c r="H157" s="5" t="str">
        <f aca="false">IF(Registro!A157="","",IF(Registro!D157="Realizada",Registro!L157,0))</f>
        <v/>
      </c>
      <c r="I157" s="11" t="str">
        <f aca="false">IF(OR(Registro!A157="",N(G157)=0),"",H157/G157)</f>
        <v/>
      </c>
    </row>
    <row r="158" customFormat="false" ht="15" hidden="false" customHeight="false" outlineLevel="0" collapsed="false">
      <c r="A158" s="5" t="str">
        <f aca="false">IF(Registro!A158="","",Registro!A158)</f>
        <v/>
      </c>
      <c r="B158" s="5" t="str">
        <f aca="false">IF(Registro!A158="","",Registro!B158)</f>
        <v/>
      </c>
      <c r="C158" s="5" t="str">
        <f aca="false">IF(Registro!A158="","",Registro!C158)</f>
        <v/>
      </c>
      <c r="D158" s="5" t="str">
        <f aca="false">IF(Registro!A158="","",Registro!E158)</f>
        <v/>
      </c>
      <c r="E158" s="5" t="str">
        <f aca="false">IF(Registro!A158="","",Registro!G158)</f>
        <v/>
      </c>
      <c r="F158" s="5" t="str">
        <f aca="false">IF(Registro!A158="","",Registro!D158)</f>
        <v/>
      </c>
      <c r="G158" s="5" t="str">
        <f aca="false">IF(Registro!A158="","",Registro!T158)</f>
        <v/>
      </c>
      <c r="H158" s="5" t="str">
        <f aca="false">IF(Registro!A158="","",IF(Registro!D158="Realizada",Registro!L158,0))</f>
        <v/>
      </c>
      <c r="I158" s="11" t="str">
        <f aca="false">IF(OR(Registro!A158="",N(G158)=0),"",H158/G158)</f>
        <v/>
      </c>
    </row>
    <row r="159" customFormat="false" ht="15" hidden="false" customHeight="false" outlineLevel="0" collapsed="false">
      <c r="A159" s="5" t="str">
        <f aca="false">IF(Registro!A159="","",Registro!A159)</f>
        <v/>
      </c>
      <c r="B159" s="5" t="str">
        <f aca="false">IF(Registro!A159="","",Registro!B159)</f>
        <v/>
      </c>
      <c r="C159" s="5" t="str">
        <f aca="false">IF(Registro!A159="","",Registro!C159)</f>
        <v/>
      </c>
      <c r="D159" s="5" t="str">
        <f aca="false">IF(Registro!A159="","",Registro!E159)</f>
        <v/>
      </c>
      <c r="E159" s="5" t="str">
        <f aca="false">IF(Registro!A159="","",Registro!G159)</f>
        <v/>
      </c>
      <c r="F159" s="5" t="str">
        <f aca="false">IF(Registro!A159="","",Registro!D159)</f>
        <v/>
      </c>
      <c r="G159" s="5" t="str">
        <f aca="false">IF(Registro!A159="","",Registro!T159)</f>
        <v/>
      </c>
      <c r="H159" s="5" t="str">
        <f aca="false">IF(Registro!A159="","",IF(Registro!D159="Realizada",Registro!L159,0))</f>
        <v/>
      </c>
      <c r="I159" s="11" t="str">
        <f aca="false">IF(OR(Registro!A159="",N(G159)=0),"",H159/G159)</f>
        <v/>
      </c>
    </row>
    <row r="160" customFormat="false" ht="15" hidden="false" customHeight="false" outlineLevel="0" collapsed="false">
      <c r="A160" s="5" t="str">
        <f aca="false">IF(Registro!A160="","",Registro!A160)</f>
        <v/>
      </c>
      <c r="B160" s="5" t="str">
        <f aca="false">IF(Registro!A160="","",Registro!B160)</f>
        <v/>
      </c>
      <c r="C160" s="5" t="str">
        <f aca="false">IF(Registro!A160="","",Registro!C160)</f>
        <v/>
      </c>
      <c r="D160" s="5" t="str">
        <f aca="false">IF(Registro!A160="","",Registro!E160)</f>
        <v/>
      </c>
      <c r="E160" s="5" t="str">
        <f aca="false">IF(Registro!A160="","",Registro!G160)</f>
        <v/>
      </c>
      <c r="F160" s="5" t="str">
        <f aca="false">IF(Registro!A160="","",Registro!D160)</f>
        <v/>
      </c>
      <c r="G160" s="5" t="str">
        <f aca="false">IF(Registro!A160="","",Registro!T160)</f>
        <v/>
      </c>
      <c r="H160" s="5" t="str">
        <f aca="false">IF(Registro!A160="","",IF(Registro!D160="Realizada",Registro!L160,0))</f>
        <v/>
      </c>
      <c r="I160" s="11" t="str">
        <f aca="false">IF(OR(Registro!A160="",N(G160)=0),"",H160/G160)</f>
        <v/>
      </c>
    </row>
    <row r="161" customFormat="false" ht="15" hidden="false" customHeight="false" outlineLevel="0" collapsed="false">
      <c r="A161" s="5" t="str">
        <f aca="false">IF(Registro!A161="","",Registro!A161)</f>
        <v/>
      </c>
      <c r="B161" s="5" t="str">
        <f aca="false">IF(Registro!A161="","",Registro!B161)</f>
        <v/>
      </c>
      <c r="C161" s="5" t="str">
        <f aca="false">IF(Registro!A161="","",Registro!C161)</f>
        <v/>
      </c>
      <c r="D161" s="5" t="str">
        <f aca="false">IF(Registro!A161="","",Registro!E161)</f>
        <v/>
      </c>
      <c r="E161" s="5" t="str">
        <f aca="false">IF(Registro!A161="","",Registro!G161)</f>
        <v/>
      </c>
      <c r="F161" s="5" t="str">
        <f aca="false">IF(Registro!A161="","",Registro!D161)</f>
        <v/>
      </c>
      <c r="G161" s="5" t="str">
        <f aca="false">IF(Registro!A161="","",Registro!T161)</f>
        <v/>
      </c>
      <c r="H161" s="5" t="str">
        <f aca="false">IF(Registro!A161="","",IF(Registro!D161="Realizada",Registro!L161,0))</f>
        <v/>
      </c>
      <c r="I161" s="11" t="str">
        <f aca="false">IF(OR(Registro!A161="",N(G161)=0),"",H161/G161)</f>
        <v/>
      </c>
    </row>
    <row r="162" customFormat="false" ht="15" hidden="false" customHeight="false" outlineLevel="0" collapsed="false">
      <c r="A162" s="5" t="str">
        <f aca="false">IF(Registro!A162="","",Registro!A162)</f>
        <v/>
      </c>
      <c r="B162" s="5" t="str">
        <f aca="false">IF(Registro!A162="","",Registro!B162)</f>
        <v/>
      </c>
      <c r="C162" s="5" t="str">
        <f aca="false">IF(Registro!A162="","",Registro!C162)</f>
        <v/>
      </c>
      <c r="D162" s="5" t="str">
        <f aca="false">IF(Registro!A162="","",Registro!E162)</f>
        <v/>
      </c>
      <c r="E162" s="5" t="str">
        <f aca="false">IF(Registro!A162="","",Registro!G162)</f>
        <v/>
      </c>
      <c r="F162" s="5" t="str">
        <f aca="false">IF(Registro!A162="","",Registro!D162)</f>
        <v/>
      </c>
      <c r="G162" s="5" t="str">
        <f aca="false">IF(Registro!A162="","",Registro!T162)</f>
        <v/>
      </c>
      <c r="H162" s="5" t="str">
        <f aca="false">IF(Registro!A162="","",IF(Registro!D162="Realizada",Registro!L162,0))</f>
        <v/>
      </c>
      <c r="I162" s="11" t="str">
        <f aca="false">IF(OR(Registro!A162="",N(G162)=0),"",H162/G162)</f>
        <v/>
      </c>
    </row>
    <row r="163" customFormat="false" ht="15" hidden="false" customHeight="false" outlineLevel="0" collapsed="false">
      <c r="A163" s="5" t="str">
        <f aca="false">IF(Registro!A163="","",Registro!A163)</f>
        <v/>
      </c>
      <c r="B163" s="5" t="str">
        <f aca="false">IF(Registro!A163="","",Registro!B163)</f>
        <v/>
      </c>
      <c r="C163" s="5" t="str">
        <f aca="false">IF(Registro!A163="","",Registro!C163)</f>
        <v/>
      </c>
      <c r="D163" s="5" t="str">
        <f aca="false">IF(Registro!A163="","",Registro!E163)</f>
        <v/>
      </c>
      <c r="E163" s="5" t="str">
        <f aca="false">IF(Registro!A163="","",Registro!G163)</f>
        <v/>
      </c>
      <c r="F163" s="5" t="str">
        <f aca="false">IF(Registro!A163="","",Registro!D163)</f>
        <v/>
      </c>
      <c r="G163" s="5" t="str">
        <f aca="false">IF(Registro!A163="","",Registro!T163)</f>
        <v/>
      </c>
      <c r="H163" s="5" t="str">
        <f aca="false">IF(Registro!A163="","",IF(Registro!D163="Realizada",Registro!L163,0))</f>
        <v/>
      </c>
      <c r="I163" s="11" t="str">
        <f aca="false">IF(OR(Registro!A163="",N(G163)=0),"",H163/G163)</f>
        <v/>
      </c>
    </row>
    <row r="164" customFormat="false" ht="15" hidden="false" customHeight="false" outlineLevel="0" collapsed="false">
      <c r="A164" s="5" t="str">
        <f aca="false">IF(Registro!A164="","",Registro!A164)</f>
        <v/>
      </c>
      <c r="B164" s="5" t="str">
        <f aca="false">IF(Registro!A164="","",Registro!B164)</f>
        <v/>
      </c>
      <c r="C164" s="5" t="str">
        <f aca="false">IF(Registro!A164="","",Registro!C164)</f>
        <v/>
      </c>
      <c r="D164" s="5" t="str">
        <f aca="false">IF(Registro!A164="","",Registro!E164)</f>
        <v/>
      </c>
      <c r="E164" s="5" t="str">
        <f aca="false">IF(Registro!A164="","",Registro!G164)</f>
        <v/>
      </c>
      <c r="F164" s="5" t="str">
        <f aca="false">IF(Registro!A164="","",Registro!D164)</f>
        <v/>
      </c>
      <c r="G164" s="5" t="str">
        <f aca="false">IF(Registro!A164="","",Registro!T164)</f>
        <v/>
      </c>
      <c r="H164" s="5" t="str">
        <f aca="false">IF(Registro!A164="","",IF(Registro!D164="Realizada",Registro!L164,0))</f>
        <v/>
      </c>
      <c r="I164" s="11" t="str">
        <f aca="false">IF(OR(Registro!A164="",N(G164)=0),"",H164/G164)</f>
        <v/>
      </c>
    </row>
    <row r="165" customFormat="false" ht="15" hidden="false" customHeight="false" outlineLevel="0" collapsed="false">
      <c r="A165" s="5" t="str">
        <f aca="false">IF(Registro!A165="","",Registro!A165)</f>
        <v/>
      </c>
      <c r="B165" s="5" t="str">
        <f aca="false">IF(Registro!A165="","",Registro!B165)</f>
        <v/>
      </c>
      <c r="C165" s="5" t="str">
        <f aca="false">IF(Registro!A165="","",Registro!C165)</f>
        <v/>
      </c>
      <c r="D165" s="5" t="str">
        <f aca="false">IF(Registro!A165="","",Registro!E165)</f>
        <v/>
      </c>
      <c r="E165" s="5" t="str">
        <f aca="false">IF(Registro!A165="","",Registro!G165)</f>
        <v/>
      </c>
      <c r="F165" s="5" t="str">
        <f aca="false">IF(Registro!A165="","",Registro!D165)</f>
        <v/>
      </c>
      <c r="G165" s="5" t="str">
        <f aca="false">IF(Registro!A165="","",Registro!T165)</f>
        <v/>
      </c>
      <c r="H165" s="5" t="str">
        <f aca="false">IF(Registro!A165="","",IF(Registro!D165="Realizada",Registro!L165,0))</f>
        <v/>
      </c>
      <c r="I165" s="11" t="str">
        <f aca="false">IF(OR(Registro!A165="",N(G165)=0),"",H165/G165)</f>
        <v/>
      </c>
    </row>
    <row r="166" customFormat="false" ht="15" hidden="false" customHeight="false" outlineLevel="0" collapsed="false">
      <c r="A166" s="5" t="str">
        <f aca="false">IF(Registro!A166="","",Registro!A166)</f>
        <v/>
      </c>
      <c r="B166" s="5" t="str">
        <f aca="false">IF(Registro!A166="","",Registro!B166)</f>
        <v/>
      </c>
      <c r="C166" s="5" t="str">
        <f aca="false">IF(Registro!A166="","",Registro!C166)</f>
        <v/>
      </c>
      <c r="D166" s="5" t="str">
        <f aca="false">IF(Registro!A166="","",Registro!E166)</f>
        <v/>
      </c>
      <c r="E166" s="5" t="str">
        <f aca="false">IF(Registro!A166="","",Registro!G166)</f>
        <v/>
      </c>
      <c r="F166" s="5" t="str">
        <f aca="false">IF(Registro!A166="","",Registro!D166)</f>
        <v/>
      </c>
      <c r="G166" s="5" t="str">
        <f aca="false">IF(Registro!A166="","",Registro!T166)</f>
        <v/>
      </c>
      <c r="H166" s="5" t="str">
        <f aca="false">IF(Registro!A166="","",IF(Registro!D166="Realizada",Registro!L166,0))</f>
        <v/>
      </c>
      <c r="I166" s="11" t="str">
        <f aca="false">IF(OR(Registro!A166="",N(G166)=0),"",H166/G166)</f>
        <v/>
      </c>
    </row>
    <row r="167" customFormat="false" ht="15" hidden="false" customHeight="false" outlineLevel="0" collapsed="false">
      <c r="A167" s="5" t="str">
        <f aca="false">IF(Registro!A167="","",Registro!A167)</f>
        <v/>
      </c>
      <c r="B167" s="5" t="str">
        <f aca="false">IF(Registro!A167="","",Registro!B167)</f>
        <v/>
      </c>
      <c r="C167" s="5" t="str">
        <f aca="false">IF(Registro!A167="","",Registro!C167)</f>
        <v/>
      </c>
      <c r="D167" s="5" t="str">
        <f aca="false">IF(Registro!A167="","",Registro!E167)</f>
        <v/>
      </c>
      <c r="E167" s="5" t="str">
        <f aca="false">IF(Registro!A167="","",Registro!G167)</f>
        <v/>
      </c>
      <c r="F167" s="5" t="str">
        <f aca="false">IF(Registro!A167="","",Registro!D167)</f>
        <v/>
      </c>
      <c r="G167" s="5" t="str">
        <f aca="false">IF(Registro!A167="","",Registro!T167)</f>
        <v/>
      </c>
      <c r="H167" s="5" t="str">
        <f aca="false">IF(Registro!A167="","",IF(Registro!D167="Realizada",Registro!L167,0))</f>
        <v/>
      </c>
      <c r="I167" s="11" t="str">
        <f aca="false">IF(OR(Registro!A167="",N(G167)=0),"",H167/G167)</f>
        <v/>
      </c>
    </row>
    <row r="168" customFormat="false" ht="15" hidden="false" customHeight="false" outlineLevel="0" collapsed="false">
      <c r="A168" s="5" t="str">
        <f aca="false">IF(Registro!A168="","",Registro!A168)</f>
        <v/>
      </c>
      <c r="B168" s="5" t="str">
        <f aca="false">IF(Registro!A168="","",Registro!B168)</f>
        <v/>
      </c>
      <c r="C168" s="5" t="str">
        <f aca="false">IF(Registro!A168="","",Registro!C168)</f>
        <v/>
      </c>
      <c r="D168" s="5" t="str">
        <f aca="false">IF(Registro!A168="","",Registro!E168)</f>
        <v/>
      </c>
      <c r="E168" s="5" t="str">
        <f aca="false">IF(Registro!A168="","",Registro!G168)</f>
        <v/>
      </c>
      <c r="F168" s="5" t="str">
        <f aca="false">IF(Registro!A168="","",Registro!D168)</f>
        <v/>
      </c>
      <c r="G168" s="5" t="str">
        <f aca="false">IF(Registro!A168="","",Registro!T168)</f>
        <v/>
      </c>
      <c r="H168" s="5" t="str">
        <f aca="false">IF(Registro!A168="","",IF(Registro!D168="Realizada",Registro!L168,0))</f>
        <v/>
      </c>
      <c r="I168" s="11" t="str">
        <f aca="false">IF(OR(Registro!A168="",N(G168)=0),"",H168/G168)</f>
        <v/>
      </c>
    </row>
    <row r="169" customFormat="false" ht="15" hidden="false" customHeight="false" outlineLevel="0" collapsed="false">
      <c r="A169" s="5" t="str">
        <f aca="false">IF(Registro!A169="","",Registro!A169)</f>
        <v/>
      </c>
      <c r="B169" s="5" t="str">
        <f aca="false">IF(Registro!A169="","",Registro!B169)</f>
        <v/>
      </c>
      <c r="C169" s="5" t="str">
        <f aca="false">IF(Registro!A169="","",Registro!C169)</f>
        <v/>
      </c>
      <c r="D169" s="5" t="str">
        <f aca="false">IF(Registro!A169="","",Registro!E169)</f>
        <v/>
      </c>
      <c r="E169" s="5" t="str">
        <f aca="false">IF(Registro!A169="","",Registro!G169)</f>
        <v/>
      </c>
      <c r="F169" s="5" t="str">
        <f aca="false">IF(Registro!A169="","",Registro!D169)</f>
        <v/>
      </c>
      <c r="G169" s="5" t="str">
        <f aca="false">IF(Registro!A169="","",Registro!T169)</f>
        <v/>
      </c>
      <c r="H169" s="5" t="str">
        <f aca="false">IF(Registro!A169="","",IF(Registro!D169="Realizada",Registro!L169,0))</f>
        <v/>
      </c>
      <c r="I169" s="11" t="str">
        <f aca="false">IF(OR(Registro!A169="",N(G169)=0),"",H169/G169)</f>
        <v/>
      </c>
    </row>
    <row r="170" customFormat="false" ht="15" hidden="false" customHeight="false" outlineLevel="0" collapsed="false">
      <c r="A170" s="5" t="str">
        <f aca="false">IF(Registro!A170="","",Registro!A170)</f>
        <v/>
      </c>
      <c r="B170" s="5" t="str">
        <f aca="false">IF(Registro!A170="","",Registro!B170)</f>
        <v/>
      </c>
      <c r="C170" s="5" t="str">
        <f aca="false">IF(Registro!A170="","",Registro!C170)</f>
        <v/>
      </c>
      <c r="D170" s="5" t="str">
        <f aca="false">IF(Registro!A170="","",Registro!E170)</f>
        <v/>
      </c>
      <c r="E170" s="5" t="str">
        <f aca="false">IF(Registro!A170="","",Registro!G170)</f>
        <v/>
      </c>
      <c r="F170" s="5" t="str">
        <f aca="false">IF(Registro!A170="","",Registro!D170)</f>
        <v/>
      </c>
      <c r="G170" s="5" t="str">
        <f aca="false">IF(Registro!A170="","",Registro!T170)</f>
        <v/>
      </c>
      <c r="H170" s="5" t="str">
        <f aca="false">IF(Registro!A170="","",IF(Registro!D170="Realizada",Registro!L170,0))</f>
        <v/>
      </c>
      <c r="I170" s="11" t="str">
        <f aca="false">IF(OR(Registro!A170="",N(G170)=0),"",H170/G170)</f>
        <v/>
      </c>
    </row>
    <row r="171" customFormat="false" ht="15" hidden="false" customHeight="false" outlineLevel="0" collapsed="false">
      <c r="A171" s="5" t="str">
        <f aca="false">IF(Registro!A171="","",Registro!A171)</f>
        <v/>
      </c>
      <c r="B171" s="5" t="str">
        <f aca="false">IF(Registro!A171="","",Registro!B171)</f>
        <v/>
      </c>
      <c r="C171" s="5" t="str">
        <f aca="false">IF(Registro!A171="","",Registro!C171)</f>
        <v/>
      </c>
      <c r="D171" s="5" t="str">
        <f aca="false">IF(Registro!A171="","",Registro!E171)</f>
        <v/>
      </c>
      <c r="E171" s="5" t="str">
        <f aca="false">IF(Registro!A171="","",Registro!G171)</f>
        <v/>
      </c>
      <c r="F171" s="5" t="str">
        <f aca="false">IF(Registro!A171="","",Registro!D171)</f>
        <v/>
      </c>
      <c r="G171" s="5" t="str">
        <f aca="false">IF(Registro!A171="","",Registro!T171)</f>
        <v/>
      </c>
      <c r="H171" s="5" t="str">
        <f aca="false">IF(Registro!A171="","",IF(Registro!D171="Realizada",Registro!L171,0))</f>
        <v/>
      </c>
      <c r="I171" s="11" t="str">
        <f aca="false">IF(OR(Registro!A171="",N(G171)=0),"",H171/G171)</f>
        <v/>
      </c>
    </row>
    <row r="172" customFormat="false" ht="15" hidden="false" customHeight="false" outlineLevel="0" collapsed="false">
      <c r="A172" s="5" t="str">
        <f aca="false">IF(Registro!A172="","",Registro!A172)</f>
        <v/>
      </c>
      <c r="B172" s="5" t="str">
        <f aca="false">IF(Registro!A172="","",Registro!B172)</f>
        <v/>
      </c>
      <c r="C172" s="5" t="str">
        <f aca="false">IF(Registro!A172="","",Registro!C172)</f>
        <v/>
      </c>
      <c r="D172" s="5" t="str">
        <f aca="false">IF(Registro!A172="","",Registro!E172)</f>
        <v/>
      </c>
      <c r="E172" s="5" t="str">
        <f aca="false">IF(Registro!A172="","",Registro!G172)</f>
        <v/>
      </c>
      <c r="F172" s="5" t="str">
        <f aca="false">IF(Registro!A172="","",Registro!D172)</f>
        <v/>
      </c>
      <c r="G172" s="5" t="str">
        <f aca="false">IF(Registro!A172="","",Registro!T172)</f>
        <v/>
      </c>
      <c r="H172" s="5" t="str">
        <f aca="false">IF(Registro!A172="","",IF(Registro!D172="Realizada",Registro!L172,0))</f>
        <v/>
      </c>
      <c r="I172" s="11" t="str">
        <f aca="false">IF(OR(Registro!A172="",N(G172)=0),"",H172/G172)</f>
        <v/>
      </c>
    </row>
    <row r="173" customFormat="false" ht="15" hidden="false" customHeight="false" outlineLevel="0" collapsed="false">
      <c r="A173" s="5" t="str">
        <f aca="false">IF(Registro!A173="","",Registro!A173)</f>
        <v/>
      </c>
      <c r="B173" s="5" t="str">
        <f aca="false">IF(Registro!A173="","",Registro!B173)</f>
        <v/>
      </c>
      <c r="C173" s="5" t="str">
        <f aca="false">IF(Registro!A173="","",Registro!C173)</f>
        <v/>
      </c>
      <c r="D173" s="5" t="str">
        <f aca="false">IF(Registro!A173="","",Registro!E173)</f>
        <v/>
      </c>
      <c r="E173" s="5" t="str">
        <f aca="false">IF(Registro!A173="","",Registro!G173)</f>
        <v/>
      </c>
      <c r="F173" s="5" t="str">
        <f aca="false">IF(Registro!A173="","",Registro!D173)</f>
        <v/>
      </c>
      <c r="G173" s="5" t="str">
        <f aca="false">IF(Registro!A173="","",Registro!T173)</f>
        <v/>
      </c>
      <c r="H173" s="5" t="str">
        <f aca="false">IF(Registro!A173="","",IF(Registro!D173="Realizada",Registro!L173,0))</f>
        <v/>
      </c>
      <c r="I173" s="11" t="str">
        <f aca="false">IF(OR(Registro!A173="",N(G173)=0),"",H173/G173)</f>
        <v/>
      </c>
    </row>
    <row r="174" customFormat="false" ht="15" hidden="false" customHeight="false" outlineLevel="0" collapsed="false">
      <c r="A174" s="5" t="str">
        <f aca="false">IF(Registro!A174="","",Registro!A174)</f>
        <v/>
      </c>
      <c r="B174" s="5" t="str">
        <f aca="false">IF(Registro!A174="","",Registro!B174)</f>
        <v/>
      </c>
      <c r="C174" s="5" t="str">
        <f aca="false">IF(Registro!A174="","",Registro!C174)</f>
        <v/>
      </c>
      <c r="D174" s="5" t="str">
        <f aca="false">IF(Registro!A174="","",Registro!E174)</f>
        <v/>
      </c>
      <c r="E174" s="5" t="str">
        <f aca="false">IF(Registro!A174="","",Registro!G174)</f>
        <v/>
      </c>
      <c r="F174" s="5" t="str">
        <f aca="false">IF(Registro!A174="","",Registro!D174)</f>
        <v/>
      </c>
      <c r="G174" s="5" t="str">
        <f aca="false">IF(Registro!A174="","",Registro!T174)</f>
        <v/>
      </c>
      <c r="H174" s="5" t="str">
        <f aca="false">IF(Registro!A174="","",IF(Registro!D174="Realizada",Registro!L174,0))</f>
        <v/>
      </c>
      <c r="I174" s="11" t="str">
        <f aca="false">IF(OR(Registro!A174="",N(G174)=0),"",H174/G174)</f>
        <v/>
      </c>
    </row>
    <row r="175" customFormat="false" ht="15" hidden="false" customHeight="false" outlineLevel="0" collapsed="false">
      <c r="A175" s="5" t="str">
        <f aca="false">IF(Registro!A175="","",Registro!A175)</f>
        <v/>
      </c>
      <c r="B175" s="5" t="str">
        <f aca="false">IF(Registro!A175="","",Registro!B175)</f>
        <v/>
      </c>
      <c r="C175" s="5" t="str">
        <f aca="false">IF(Registro!A175="","",Registro!C175)</f>
        <v/>
      </c>
      <c r="D175" s="5" t="str">
        <f aca="false">IF(Registro!A175="","",Registro!E175)</f>
        <v/>
      </c>
      <c r="E175" s="5" t="str">
        <f aca="false">IF(Registro!A175="","",Registro!G175)</f>
        <v/>
      </c>
      <c r="F175" s="5" t="str">
        <f aca="false">IF(Registro!A175="","",Registro!D175)</f>
        <v/>
      </c>
      <c r="G175" s="5" t="str">
        <f aca="false">IF(Registro!A175="","",Registro!T175)</f>
        <v/>
      </c>
      <c r="H175" s="5" t="str">
        <f aca="false">IF(Registro!A175="","",IF(Registro!D175="Realizada",Registro!L175,0))</f>
        <v/>
      </c>
      <c r="I175" s="11" t="str">
        <f aca="false">IF(OR(Registro!A175="",N(G175)=0),"",H175/G175)</f>
        <v/>
      </c>
    </row>
    <row r="176" customFormat="false" ht="15" hidden="false" customHeight="false" outlineLevel="0" collapsed="false">
      <c r="A176" s="5" t="str">
        <f aca="false">IF(Registro!A176="","",Registro!A176)</f>
        <v/>
      </c>
      <c r="B176" s="5" t="str">
        <f aca="false">IF(Registro!A176="","",Registro!B176)</f>
        <v/>
      </c>
      <c r="C176" s="5" t="str">
        <f aca="false">IF(Registro!A176="","",Registro!C176)</f>
        <v/>
      </c>
      <c r="D176" s="5" t="str">
        <f aca="false">IF(Registro!A176="","",Registro!E176)</f>
        <v/>
      </c>
      <c r="E176" s="5" t="str">
        <f aca="false">IF(Registro!A176="","",Registro!G176)</f>
        <v/>
      </c>
      <c r="F176" s="5" t="str">
        <f aca="false">IF(Registro!A176="","",Registro!D176)</f>
        <v/>
      </c>
      <c r="G176" s="5" t="str">
        <f aca="false">IF(Registro!A176="","",Registro!T176)</f>
        <v/>
      </c>
      <c r="H176" s="5" t="str">
        <f aca="false">IF(Registro!A176="","",IF(Registro!D176="Realizada",Registro!L176,0))</f>
        <v/>
      </c>
      <c r="I176" s="11" t="str">
        <f aca="false">IF(OR(Registro!A176="",N(G176)=0),"",H176/G176)</f>
        <v/>
      </c>
    </row>
    <row r="177" customFormat="false" ht="15" hidden="false" customHeight="false" outlineLevel="0" collapsed="false">
      <c r="A177" s="5" t="str">
        <f aca="false">IF(Registro!A177="","",Registro!A177)</f>
        <v/>
      </c>
      <c r="B177" s="5" t="str">
        <f aca="false">IF(Registro!A177="","",Registro!B177)</f>
        <v/>
      </c>
      <c r="C177" s="5" t="str">
        <f aca="false">IF(Registro!A177="","",Registro!C177)</f>
        <v/>
      </c>
      <c r="D177" s="5" t="str">
        <f aca="false">IF(Registro!A177="","",Registro!E177)</f>
        <v/>
      </c>
      <c r="E177" s="5" t="str">
        <f aca="false">IF(Registro!A177="","",Registro!G177)</f>
        <v/>
      </c>
      <c r="F177" s="5" t="str">
        <f aca="false">IF(Registro!A177="","",Registro!D177)</f>
        <v/>
      </c>
      <c r="G177" s="5" t="str">
        <f aca="false">IF(Registro!A177="","",Registro!T177)</f>
        <v/>
      </c>
      <c r="H177" s="5" t="str">
        <f aca="false">IF(Registro!A177="","",IF(Registro!D177="Realizada",Registro!L177,0))</f>
        <v/>
      </c>
      <c r="I177" s="11" t="str">
        <f aca="false">IF(OR(Registro!A177="",N(G177)=0),"",H177/G177)</f>
        <v/>
      </c>
    </row>
    <row r="178" customFormat="false" ht="15" hidden="false" customHeight="false" outlineLevel="0" collapsed="false">
      <c r="A178" s="5" t="str">
        <f aca="false">IF(Registro!A178="","",Registro!A178)</f>
        <v/>
      </c>
      <c r="B178" s="5" t="str">
        <f aca="false">IF(Registro!A178="","",Registro!B178)</f>
        <v/>
      </c>
      <c r="C178" s="5" t="str">
        <f aca="false">IF(Registro!A178="","",Registro!C178)</f>
        <v/>
      </c>
      <c r="D178" s="5" t="str">
        <f aca="false">IF(Registro!A178="","",Registro!E178)</f>
        <v/>
      </c>
      <c r="E178" s="5" t="str">
        <f aca="false">IF(Registro!A178="","",Registro!G178)</f>
        <v/>
      </c>
      <c r="F178" s="5" t="str">
        <f aca="false">IF(Registro!A178="","",Registro!D178)</f>
        <v/>
      </c>
      <c r="G178" s="5" t="str">
        <f aca="false">IF(Registro!A178="","",Registro!T178)</f>
        <v/>
      </c>
      <c r="H178" s="5" t="str">
        <f aca="false">IF(Registro!A178="","",IF(Registro!D178="Realizada",Registro!L178,0))</f>
        <v/>
      </c>
      <c r="I178" s="11" t="str">
        <f aca="false">IF(OR(Registro!A178="",N(G178)=0),"",H178/G178)</f>
        <v/>
      </c>
    </row>
    <row r="179" customFormat="false" ht="15" hidden="false" customHeight="false" outlineLevel="0" collapsed="false">
      <c r="A179" s="5" t="str">
        <f aca="false">IF(Registro!A179="","",Registro!A179)</f>
        <v/>
      </c>
      <c r="B179" s="5" t="str">
        <f aca="false">IF(Registro!A179="","",Registro!B179)</f>
        <v/>
      </c>
      <c r="C179" s="5" t="str">
        <f aca="false">IF(Registro!A179="","",Registro!C179)</f>
        <v/>
      </c>
      <c r="D179" s="5" t="str">
        <f aca="false">IF(Registro!A179="","",Registro!E179)</f>
        <v/>
      </c>
      <c r="E179" s="5" t="str">
        <f aca="false">IF(Registro!A179="","",Registro!G179)</f>
        <v/>
      </c>
      <c r="F179" s="5" t="str">
        <f aca="false">IF(Registro!A179="","",Registro!D179)</f>
        <v/>
      </c>
      <c r="G179" s="5" t="str">
        <f aca="false">IF(Registro!A179="","",Registro!T179)</f>
        <v/>
      </c>
      <c r="H179" s="5" t="str">
        <f aca="false">IF(Registro!A179="","",IF(Registro!D179="Realizada",Registro!L179,0))</f>
        <v/>
      </c>
      <c r="I179" s="11" t="str">
        <f aca="false">IF(OR(Registro!A179="",N(G179)=0),"",H179/G179)</f>
        <v/>
      </c>
    </row>
    <row r="180" customFormat="false" ht="15" hidden="false" customHeight="false" outlineLevel="0" collapsed="false">
      <c r="A180" s="5" t="str">
        <f aca="false">IF(Registro!A180="","",Registro!A180)</f>
        <v/>
      </c>
      <c r="B180" s="5" t="str">
        <f aca="false">IF(Registro!A180="","",Registro!B180)</f>
        <v/>
      </c>
      <c r="C180" s="5" t="str">
        <f aca="false">IF(Registro!A180="","",Registro!C180)</f>
        <v/>
      </c>
      <c r="D180" s="5" t="str">
        <f aca="false">IF(Registro!A180="","",Registro!E180)</f>
        <v/>
      </c>
      <c r="E180" s="5" t="str">
        <f aca="false">IF(Registro!A180="","",Registro!G180)</f>
        <v/>
      </c>
      <c r="F180" s="5" t="str">
        <f aca="false">IF(Registro!A180="","",Registro!D180)</f>
        <v/>
      </c>
      <c r="G180" s="5" t="str">
        <f aca="false">IF(Registro!A180="","",Registro!T180)</f>
        <v/>
      </c>
      <c r="H180" s="5" t="str">
        <f aca="false">IF(Registro!A180="","",IF(Registro!D180="Realizada",Registro!L180,0))</f>
        <v/>
      </c>
      <c r="I180" s="11" t="str">
        <f aca="false">IF(OR(Registro!A180="",N(G180)=0),"",H180/G180)</f>
        <v/>
      </c>
    </row>
    <row r="181" customFormat="false" ht="15" hidden="false" customHeight="false" outlineLevel="0" collapsed="false">
      <c r="A181" s="5" t="str">
        <f aca="false">IF(Registro!A181="","",Registro!A181)</f>
        <v/>
      </c>
      <c r="B181" s="5" t="str">
        <f aca="false">IF(Registro!A181="","",Registro!B181)</f>
        <v/>
      </c>
      <c r="C181" s="5" t="str">
        <f aca="false">IF(Registro!A181="","",Registro!C181)</f>
        <v/>
      </c>
      <c r="D181" s="5" t="str">
        <f aca="false">IF(Registro!A181="","",Registro!E181)</f>
        <v/>
      </c>
      <c r="E181" s="5" t="str">
        <f aca="false">IF(Registro!A181="","",Registro!G181)</f>
        <v/>
      </c>
      <c r="F181" s="5" t="str">
        <f aca="false">IF(Registro!A181="","",Registro!D181)</f>
        <v/>
      </c>
      <c r="G181" s="5" t="str">
        <f aca="false">IF(Registro!A181="","",Registro!T181)</f>
        <v/>
      </c>
      <c r="H181" s="5" t="str">
        <f aca="false">IF(Registro!A181="","",IF(Registro!D181="Realizada",Registro!L181,0))</f>
        <v/>
      </c>
      <c r="I181" s="11" t="str">
        <f aca="false">IF(OR(Registro!A181="",N(G181)=0),"",H181/G181)</f>
        <v/>
      </c>
    </row>
    <row r="182" customFormat="false" ht="15" hidden="false" customHeight="false" outlineLevel="0" collapsed="false">
      <c r="A182" s="5" t="str">
        <f aca="false">IF(Registro!A182="","",Registro!A182)</f>
        <v/>
      </c>
      <c r="B182" s="5" t="str">
        <f aca="false">IF(Registro!A182="","",Registro!B182)</f>
        <v/>
      </c>
      <c r="C182" s="5" t="str">
        <f aca="false">IF(Registro!A182="","",Registro!C182)</f>
        <v/>
      </c>
      <c r="D182" s="5" t="str">
        <f aca="false">IF(Registro!A182="","",Registro!E182)</f>
        <v/>
      </c>
      <c r="E182" s="5" t="str">
        <f aca="false">IF(Registro!A182="","",Registro!G182)</f>
        <v/>
      </c>
      <c r="F182" s="5" t="str">
        <f aca="false">IF(Registro!A182="","",Registro!D182)</f>
        <v/>
      </c>
      <c r="G182" s="5" t="str">
        <f aca="false">IF(Registro!A182="","",Registro!T182)</f>
        <v/>
      </c>
      <c r="H182" s="5" t="str">
        <f aca="false">IF(Registro!A182="","",IF(Registro!D182="Realizada",Registro!L182,0))</f>
        <v/>
      </c>
      <c r="I182" s="11" t="str">
        <f aca="false">IF(OR(Registro!A182="",N(G182)=0),"",H182/G182)</f>
        <v/>
      </c>
    </row>
    <row r="183" customFormat="false" ht="15" hidden="false" customHeight="false" outlineLevel="0" collapsed="false">
      <c r="A183" s="5" t="str">
        <f aca="false">IF(Registro!A183="","",Registro!A183)</f>
        <v/>
      </c>
      <c r="B183" s="5" t="str">
        <f aca="false">IF(Registro!A183="","",Registro!B183)</f>
        <v/>
      </c>
      <c r="C183" s="5" t="str">
        <f aca="false">IF(Registro!A183="","",Registro!C183)</f>
        <v/>
      </c>
      <c r="D183" s="5" t="str">
        <f aca="false">IF(Registro!A183="","",Registro!E183)</f>
        <v/>
      </c>
      <c r="E183" s="5" t="str">
        <f aca="false">IF(Registro!A183="","",Registro!G183)</f>
        <v/>
      </c>
      <c r="F183" s="5" t="str">
        <f aca="false">IF(Registro!A183="","",Registro!D183)</f>
        <v/>
      </c>
      <c r="G183" s="5" t="str">
        <f aca="false">IF(Registro!A183="","",Registro!T183)</f>
        <v/>
      </c>
      <c r="H183" s="5" t="str">
        <f aca="false">IF(Registro!A183="","",IF(Registro!D183="Realizada",Registro!L183,0))</f>
        <v/>
      </c>
      <c r="I183" s="11" t="str">
        <f aca="false">IF(OR(Registro!A183="",N(G183)=0),"",H183/G183)</f>
        <v/>
      </c>
    </row>
    <row r="184" customFormat="false" ht="15" hidden="false" customHeight="false" outlineLevel="0" collapsed="false">
      <c r="A184" s="5" t="str">
        <f aca="false">IF(Registro!A184="","",Registro!A184)</f>
        <v/>
      </c>
      <c r="B184" s="5" t="str">
        <f aca="false">IF(Registro!A184="","",Registro!B184)</f>
        <v/>
      </c>
      <c r="C184" s="5" t="str">
        <f aca="false">IF(Registro!A184="","",Registro!C184)</f>
        <v/>
      </c>
      <c r="D184" s="5" t="str">
        <f aca="false">IF(Registro!A184="","",Registro!E184)</f>
        <v/>
      </c>
      <c r="E184" s="5" t="str">
        <f aca="false">IF(Registro!A184="","",Registro!G184)</f>
        <v/>
      </c>
      <c r="F184" s="5" t="str">
        <f aca="false">IF(Registro!A184="","",Registro!D184)</f>
        <v/>
      </c>
      <c r="G184" s="5" t="str">
        <f aca="false">IF(Registro!A184="","",Registro!T184)</f>
        <v/>
      </c>
      <c r="H184" s="5" t="str">
        <f aca="false">IF(Registro!A184="","",IF(Registro!D184="Realizada",Registro!L184,0))</f>
        <v/>
      </c>
      <c r="I184" s="11" t="str">
        <f aca="false">IF(OR(Registro!A184="",N(G184)=0),"",H184/G184)</f>
        <v/>
      </c>
    </row>
    <row r="185" customFormat="false" ht="15" hidden="false" customHeight="false" outlineLevel="0" collapsed="false">
      <c r="A185" s="5" t="str">
        <f aca="false">IF(Registro!A185="","",Registro!A185)</f>
        <v/>
      </c>
      <c r="B185" s="5" t="str">
        <f aca="false">IF(Registro!A185="","",Registro!B185)</f>
        <v/>
      </c>
      <c r="C185" s="5" t="str">
        <f aca="false">IF(Registro!A185="","",Registro!C185)</f>
        <v/>
      </c>
      <c r="D185" s="5" t="str">
        <f aca="false">IF(Registro!A185="","",Registro!E185)</f>
        <v/>
      </c>
      <c r="E185" s="5" t="str">
        <f aca="false">IF(Registro!A185="","",Registro!G185)</f>
        <v/>
      </c>
      <c r="F185" s="5" t="str">
        <f aca="false">IF(Registro!A185="","",Registro!D185)</f>
        <v/>
      </c>
      <c r="G185" s="5" t="str">
        <f aca="false">IF(Registro!A185="","",Registro!T185)</f>
        <v/>
      </c>
      <c r="H185" s="5" t="str">
        <f aca="false">IF(Registro!A185="","",IF(Registro!D185="Realizada",Registro!L185,0))</f>
        <v/>
      </c>
      <c r="I185" s="11" t="str">
        <f aca="false">IF(OR(Registro!A185="",N(G185)=0),"",H185/G185)</f>
        <v/>
      </c>
    </row>
    <row r="186" customFormat="false" ht="15" hidden="false" customHeight="false" outlineLevel="0" collapsed="false">
      <c r="A186" s="5" t="str">
        <f aca="false">IF(Registro!A186="","",Registro!A186)</f>
        <v/>
      </c>
      <c r="B186" s="5" t="str">
        <f aca="false">IF(Registro!A186="","",Registro!B186)</f>
        <v/>
      </c>
      <c r="C186" s="5" t="str">
        <f aca="false">IF(Registro!A186="","",Registro!C186)</f>
        <v/>
      </c>
      <c r="D186" s="5" t="str">
        <f aca="false">IF(Registro!A186="","",Registro!E186)</f>
        <v/>
      </c>
      <c r="E186" s="5" t="str">
        <f aca="false">IF(Registro!A186="","",Registro!G186)</f>
        <v/>
      </c>
      <c r="F186" s="5" t="str">
        <f aca="false">IF(Registro!A186="","",Registro!D186)</f>
        <v/>
      </c>
      <c r="G186" s="5" t="str">
        <f aca="false">IF(Registro!A186="","",Registro!T186)</f>
        <v/>
      </c>
      <c r="H186" s="5" t="str">
        <f aca="false">IF(Registro!A186="","",IF(Registro!D186="Realizada",Registro!L186,0))</f>
        <v/>
      </c>
      <c r="I186" s="11" t="str">
        <f aca="false">IF(OR(Registro!A186="",N(G186)=0),"",H186/G186)</f>
        <v/>
      </c>
    </row>
    <row r="187" customFormat="false" ht="15" hidden="false" customHeight="false" outlineLevel="0" collapsed="false">
      <c r="A187" s="5" t="str">
        <f aca="false">IF(Registro!A187="","",Registro!A187)</f>
        <v/>
      </c>
      <c r="B187" s="5" t="str">
        <f aca="false">IF(Registro!A187="","",Registro!B187)</f>
        <v/>
      </c>
      <c r="C187" s="5" t="str">
        <f aca="false">IF(Registro!A187="","",Registro!C187)</f>
        <v/>
      </c>
      <c r="D187" s="5" t="str">
        <f aca="false">IF(Registro!A187="","",Registro!E187)</f>
        <v/>
      </c>
      <c r="E187" s="5" t="str">
        <f aca="false">IF(Registro!A187="","",Registro!G187)</f>
        <v/>
      </c>
      <c r="F187" s="5" t="str">
        <f aca="false">IF(Registro!A187="","",Registro!D187)</f>
        <v/>
      </c>
      <c r="G187" s="5" t="str">
        <f aca="false">IF(Registro!A187="","",Registro!T187)</f>
        <v/>
      </c>
      <c r="H187" s="5" t="str">
        <f aca="false">IF(Registro!A187="","",IF(Registro!D187="Realizada",Registro!L187,0))</f>
        <v/>
      </c>
      <c r="I187" s="11" t="str">
        <f aca="false">IF(OR(Registro!A187="",N(G187)=0),"",H187/G187)</f>
        <v/>
      </c>
    </row>
    <row r="188" customFormat="false" ht="15" hidden="false" customHeight="false" outlineLevel="0" collapsed="false">
      <c r="A188" s="5" t="str">
        <f aca="false">IF(Registro!A188="","",Registro!A188)</f>
        <v/>
      </c>
      <c r="B188" s="5" t="str">
        <f aca="false">IF(Registro!A188="","",Registro!B188)</f>
        <v/>
      </c>
      <c r="C188" s="5" t="str">
        <f aca="false">IF(Registro!A188="","",Registro!C188)</f>
        <v/>
      </c>
      <c r="D188" s="5" t="str">
        <f aca="false">IF(Registro!A188="","",Registro!E188)</f>
        <v/>
      </c>
      <c r="E188" s="5" t="str">
        <f aca="false">IF(Registro!A188="","",Registro!G188)</f>
        <v/>
      </c>
      <c r="F188" s="5" t="str">
        <f aca="false">IF(Registro!A188="","",Registro!D188)</f>
        <v/>
      </c>
      <c r="G188" s="5" t="str">
        <f aca="false">IF(Registro!A188="","",Registro!T188)</f>
        <v/>
      </c>
      <c r="H188" s="5" t="str">
        <f aca="false">IF(Registro!A188="","",IF(Registro!D188="Realizada",Registro!L188,0))</f>
        <v/>
      </c>
      <c r="I188" s="11" t="str">
        <f aca="false">IF(OR(Registro!A188="",N(G188)=0),"",H188/G188)</f>
        <v/>
      </c>
    </row>
    <row r="189" customFormat="false" ht="15" hidden="false" customHeight="false" outlineLevel="0" collapsed="false">
      <c r="A189" s="5" t="str">
        <f aca="false">IF(Registro!A189="","",Registro!A189)</f>
        <v/>
      </c>
      <c r="B189" s="5" t="str">
        <f aca="false">IF(Registro!A189="","",Registro!B189)</f>
        <v/>
      </c>
      <c r="C189" s="5" t="str">
        <f aca="false">IF(Registro!A189="","",Registro!C189)</f>
        <v/>
      </c>
      <c r="D189" s="5" t="str">
        <f aca="false">IF(Registro!A189="","",Registro!E189)</f>
        <v/>
      </c>
      <c r="E189" s="5" t="str">
        <f aca="false">IF(Registro!A189="","",Registro!G189)</f>
        <v/>
      </c>
      <c r="F189" s="5" t="str">
        <f aca="false">IF(Registro!A189="","",Registro!D189)</f>
        <v/>
      </c>
      <c r="G189" s="5" t="str">
        <f aca="false">IF(Registro!A189="","",Registro!T189)</f>
        <v/>
      </c>
      <c r="H189" s="5" t="str">
        <f aca="false">IF(Registro!A189="","",IF(Registro!D189="Realizada",Registro!L189,0))</f>
        <v/>
      </c>
      <c r="I189" s="11" t="str">
        <f aca="false">IF(OR(Registro!A189="",N(G189)=0),"",H189/G189)</f>
        <v/>
      </c>
    </row>
    <row r="190" customFormat="false" ht="15" hidden="false" customHeight="false" outlineLevel="0" collapsed="false">
      <c r="A190" s="5" t="str">
        <f aca="false">IF(Registro!A190="","",Registro!A190)</f>
        <v/>
      </c>
      <c r="B190" s="5" t="str">
        <f aca="false">IF(Registro!A190="","",Registro!B190)</f>
        <v/>
      </c>
      <c r="C190" s="5" t="str">
        <f aca="false">IF(Registro!A190="","",Registro!C190)</f>
        <v/>
      </c>
      <c r="D190" s="5" t="str">
        <f aca="false">IF(Registro!A190="","",Registro!E190)</f>
        <v/>
      </c>
      <c r="E190" s="5" t="str">
        <f aca="false">IF(Registro!A190="","",Registro!G190)</f>
        <v/>
      </c>
      <c r="F190" s="5" t="str">
        <f aca="false">IF(Registro!A190="","",Registro!D190)</f>
        <v/>
      </c>
      <c r="G190" s="5" t="str">
        <f aca="false">IF(Registro!A190="","",Registro!T190)</f>
        <v/>
      </c>
      <c r="H190" s="5" t="str">
        <f aca="false">IF(Registro!A190="","",IF(Registro!D190="Realizada",Registro!L190,0))</f>
        <v/>
      </c>
      <c r="I190" s="11" t="str">
        <f aca="false">IF(OR(Registro!A190="",N(G190)=0),"",H190/G190)</f>
        <v/>
      </c>
    </row>
    <row r="191" customFormat="false" ht="15" hidden="false" customHeight="false" outlineLevel="0" collapsed="false">
      <c r="A191" s="5" t="str">
        <f aca="false">IF(Registro!A191="","",Registro!A191)</f>
        <v/>
      </c>
      <c r="B191" s="5" t="str">
        <f aca="false">IF(Registro!A191="","",Registro!B191)</f>
        <v/>
      </c>
      <c r="C191" s="5" t="str">
        <f aca="false">IF(Registro!A191="","",Registro!C191)</f>
        <v/>
      </c>
      <c r="D191" s="5" t="str">
        <f aca="false">IF(Registro!A191="","",Registro!E191)</f>
        <v/>
      </c>
      <c r="E191" s="5" t="str">
        <f aca="false">IF(Registro!A191="","",Registro!G191)</f>
        <v/>
      </c>
      <c r="F191" s="5" t="str">
        <f aca="false">IF(Registro!A191="","",Registro!D191)</f>
        <v/>
      </c>
      <c r="G191" s="5" t="str">
        <f aca="false">IF(Registro!A191="","",Registro!T191)</f>
        <v/>
      </c>
      <c r="H191" s="5" t="str">
        <f aca="false">IF(Registro!A191="","",IF(Registro!D191="Realizada",Registro!L191,0))</f>
        <v/>
      </c>
      <c r="I191" s="11" t="str">
        <f aca="false">IF(OR(Registro!A191="",N(G191)=0),"",H191/G191)</f>
        <v/>
      </c>
    </row>
    <row r="192" customFormat="false" ht="15" hidden="false" customHeight="false" outlineLevel="0" collapsed="false">
      <c r="A192" s="5" t="str">
        <f aca="false">IF(Registro!A192="","",Registro!A192)</f>
        <v/>
      </c>
      <c r="B192" s="5" t="str">
        <f aca="false">IF(Registro!A192="","",Registro!B192)</f>
        <v/>
      </c>
      <c r="C192" s="5" t="str">
        <f aca="false">IF(Registro!A192="","",Registro!C192)</f>
        <v/>
      </c>
      <c r="D192" s="5" t="str">
        <f aca="false">IF(Registro!A192="","",Registro!E192)</f>
        <v/>
      </c>
      <c r="E192" s="5" t="str">
        <f aca="false">IF(Registro!A192="","",Registro!G192)</f>
        <v/>
      </c>
      <c r="F192" s="5" t="str">
        <f aca="false">IF(Registro!A192="","",Registro!D192)</f>
        <v/>
      </c>
      <c r="G192" s="5" t="str">
        <f aca="false">IF(Registro!A192="","",Registro!T192)</f>
        <v/>
      </c>
      <c r="H192" s="5" t="str">
        <f aca="false">IF(Registro!A192="","",IF(Registro!D192="Realizada",Registro!L192,0))</f>
        <v/>
      </c>
      <c r="I192" s="11" t="str">
        <f aca="false">IF(OR(Registro!A192="",N(G192)=0),"",H192/G192)</f>
        <v/>
      </c>
    </row>
    <row r="193" customFormat="false" ht="15" hidden="false" customHeight="false" outlineLevel="0" collapsed="false">
      <c r="A193" s="5" t="str">
        <f aca="false">IF(Registro!A193="","",Registro!A193)</f>
        <v/>
      </c>
      <c r="B193" s="5" t="str">
        <f aca="false">IF(Registro!A193="","",Registro!B193)</f>
        <v/>
      </c>
      <c r="C193" s="5" t="str">
        <f aca="false">IF(Registro!A193="","",Registro!C193)</f>
        <v/>
      </c>
      <c r="D193" s="5" t="str">
        <f aca="false">IF(Registro!A193="","",Registro!E193)</f>
        <v/>
      </c>
      <c r="E193" s="5" t="str">
        <f aca="false">IF(Registro!A193="","",Registro!G193)</f>
        <v/>
      </c>
      <c r="F193" s="5" t="str">
        <f aca="false">IF(Registro!A193="","",Registro!D193)</f>
        <v/>
      </c>
      <c r="G193" s="5" t="str">
        <f aca="false">IF(Registro!A193="","",Registro!T193)</f>
        <v/>
      </c>
      <c r="H193" s="5" t="str">
        <f aca="false">IF(Registro!A193="","",IF(Registro!D193="Realizada",Registro!L193,0))</f>
        <v/>
      </c>
      <c r="I193" s="11" t="str">
        <f aca="false">IF(OR(Registro!A193="",N(G193)=0),"",H193/G193)</f>
        <v/>
      </c>
    </row>
    <row r="194" customFormat="false" ht="15" hidden="false" customHeight="false" outlineLevel="0" collapsed="false">
      <c r="A194" s="5" t="str">
        <f aca="false">IF(Registro!A194="","",Registro!A194)</f>
        <v/>
      </c>
      <c r="B194" s="5" t="str">
        <f aca="false">IF(Registro!A194="","",Registro!B194)</f>
        <v/>
      </c>
      <c r="C194" s="5" t="str">
        <f aca="false">IF(Registro!A194="","",Registro!C194)</f>
        <v/>
      </c>
      <c r="D194" s="5" t="str">
        <f aca="false">IF(Registro!A194="","",Registro!E194)</f>
        <v/>
      </c>
      <c r="E194" s="5" t="str">
        <f aca="false">IF(Registro!A194="","",Registro!G194)</f>
        <v/>
      </c>
      <c r="F194" s="5" t="str">
        <f aca="false">IF(Registro!A194="","",Registro!D194)</f>
        <v/>
      </c>
      <c r="G194" s="5" t="str">
        <f aca="false">IF(Registro!A194="","",Registro!T194)</f>
        <v/>
      </c>
      <c r="H194" s="5" t="str">
        <f aca="false">IF(Registro!A194="","",IF(Registro!D194="Realizada",Registro!L194,0))</f>
        <v/>
      </c>
      <c r="I194" s="11" t="str">
        <f aca="false">IF(OR(Registro!A194="",N(G194)=0),"",H194/G194)</f>
        <v/>
      </c>
    </row>
    <row r="195" customFormat="false" ht="15" hidden="false" customHeight="false" outlineLevel="0" collapsed="false">
      <c r="A195" s="5" t="str">
        <f aca="false">IF(Registro!A195="","",Registro!A195)</f>
        <v/>
      </c>
      <c r="B195" s="5" t="str">
        <f aca="false">IF(Registro!A195="","",Registro!B195)</f>
        <v/>
      </c>
      <c r="C195" s="5" t="str">
        <f aca="false">IF(Registro!A195="","",Registro!C195)</f>
        <v/>
      </c>
      <c r="D195" s="5" t="str">
        <f aca="false">IF(Registro!A195="","",Registro!E195)</f>
        <v/>
      </c>
      <c r="E195" s="5" t="str">
        <f aca="false">IF(Registro!A195="","",Registro!G195)</f>
        <v/>
      </c>
      <c r="F195" s="5" t="str">
        <f aca="false">IF(Registro!A195="","",Registro!D195)</f>
        <v/>
      </c>
      <c r="G195" s="5" t="str">
        <f aca="false">IF(Registro!A195="","",Registro!T195)</f>
        <v/>
      </c>
      <c r="H195" s="5" t="str">
        <f aca="false">IF(Registro!A195="","",IF(Registro!D195="Realizada",Registro!L195,0))</f>
        <v/>
      </c>
      <c r="I195" s="11" t="str">
        <f aca="false">IF(OR(Registro!A195="",N(G195)=0),"",H195/G195)</f>
        <v/>
      </c>
    </row>
    <row r="196" customFormat="false" ht="15" hidden="false" customHeight="false" outlineLevel="0" collapsed="false">
      <c r="A196" s="5" t="str">
        <f aca="false">IF(Registro!A196="","",Registro!A196)</f>
        <v/>
      </c>
      <c r="B196" s="5" t="str">
        <f aca="false">IF(Registro!A196="","",Registro!B196)</f>
        <v/>
      </c>
      <c r="C196" s="5" t="str">
        <f aca="false">IF(Registro!A196="","",Registro!C196)</f>
        <v/>
      </c>
      <c r="D196" s="5" t="str">
        <f aca="false">IF(Registro!A196="","",Registro!E196)</f>
        <v/>
      </c>
      <c r="E196" s="5" t="str">
        <f aca="false">IF(Registro!A196="","",Registro!G196)</f>
        <v/>
      </c>
      <c r="F196" s="5" t="str">
        <f aca="false">IF(Registro!A196="","",Registro!D196)</f>
        <v/>
      </c>
      <c r="G196" s="5" t="str">
        <f aca="false">IF(Registro!A196="","",Registro!T196)</f>
        <v/>
      </c>
      <c r="H196" s="5" t="str">
        <f aca="false">IF(Registro!A196="","",IF(Registro!D196="Realizada",Registro!L196,0))</f>
        <v/>
      </c>
      <c r="I196" s="11" t="str">
        <f aca="false">IF(OR(Registro!A196="",N(G196)=0),"",H196/G196)</f>
        <v/>
      </c>
    </row>
    <row r="197" customFormat="false" ht="15" hidden="false" customHeight="false" outlineLevel="0" collapsed="false">
      <c r="A197" s="5" t="str">
        <f aca="false">IF(Registro!A197="","",Registro!A197)</f>
        <v/>
      </c>
      <c r="B197" s="5" t="str">
        <f aca="false">IF(Registro!A197="","",Registro!B197)</f>
        <v/>
      </c>
      <c r="C197" s="5" t="str">
        <f aca="false">IF(Registro!A197="","",Registro!C197)</f>
        <v/>
      </c>
      <c r="D197" s="5" t="str">
        <f aca="false">IF(Registro!A197="","",Registro!E197)</f>
        <v/>
      </c>
      <c r="E197" s="5" t="str">
        <f aca="false">IF(Registro!A197="","",Registro!G197)</f>
        <v/>
      </c>
      <c r="F197" s="5" t="str">
        <f aca="false">IF(Registro!A197="","",Registro!D197)</f>
        <v/>
      </c>
      <c r="G197" s="5" t="str">
        <f aca="false">IF(Registro!A197="","",Registro!T197)</f>
        <v/>
      </c>
      <c r="H197" s="5" t="str">
        <f aca="false">IF(Registro!A197="","",IF(Registro!D197="Realizada",Registro!L197,0))</f>
        <v/>
      </c>
      <c r="I197" s="11" t="str">
        <f aca="false">IF(OR(Registro!A197="",N(G197)=0),"",H197/G197)</f>
        <v/>
      </c>
    </row>
    <row r="198" customFormat="false" ht="15" hidden="false" customHeight="false" outlineLevel="0" collapsed="false">
      <c r="A198" s="5" t="str">
        <f aca="false">IF(Registro!A198="","",Registro!A198)</f>
        <v/>
      </c>
      <c r="B198" s="5" t="str">
        <f aca="false">IF(Registro!A198="","",Registro!B198)</f>
        <v/>
      </c>
      <c r="C198" s="5" t="str">
        <f aca="false">IF(Registro!A198="","",Registro!C198)</f>
        <v/>
      </c>
      <c r="D198" s="5" t="str">
        <f aca="false">IF(Registro!A198="","",Registro!E198)</f>
        <v/>
      </c>
      <c r="E198" s="5" t="str">
        <f aca="false">IF(Registro!A198="","",Registro!G198)</f>
        <v/>
      </c>
      <c r="F198" s="5" t="str">
        <f aca="false">IF(Registro!A198="","",Registro!D198)</f>
        <v/>
      </c>
      <c r="G198" s="5" t="str">
        <f aca="false">IF(Registro!A198="","",Registro!T198)</f>
        <v/>
      </c>
      <c r="H198" s="5" t="str">
        <f aca="false">IF(Registro!A198="","",IF(Registro!D198="Realizada",Registro!L198,0))</f>
        <v/>
      </c>
      <c r="I198" s="11" t="str">
        <f aca="false">IF(OR(Registro!A198="",N(G198)=0),"",H198/G198)</f>
        <v/>
      </c>
    </row>
    <row r="199" customFormat="false" ht="15" hidden="false" customHeight="false" outlineLevel="0" collapsed="false">
      <c r="A199" s="5" t="str">
        <f aca="false">IF(Registro!A199="","",Registro!A199)</f>
        <v/>
      </c>
      <c r="B199" s="5" t="str">
        <f aca="false">IF(Registro!A199="","",Registro!B199)</f>
        <v/>
      </c>
      <c r="C199" s="5" t="str">
        <f aca="false">IF(Registro!A199="","",Registro!C199)</f>
        <v/>
      </c>
      <c r="D199" s="5" t="str">
        <f aca="false">IF(Registro!A199="","",Registro!E199)</f>
        <v/>
      </c>
      <c r="E199" s="5" t="str">
        <f aca="false">IF(Registro!A199="","",Registro!G199)</f>
        <v/>
      </c>
      <c r="F199" s="5" t="str">
        <f aca="false">IF(Registro!A199="","",Registro!D199)</f>
        <v/>
      </c>
      <c r="G199" s="5" t="str">
        <f aca="false">IF(Registro!A199="","",Registro!T199)</f>
        <v/>
      </c>
      <c r="H199" s="5" t="str">
        <f aca="false">IF(Registro!A199="","",IF(Registro!D199="Realizada",Registro!L199,0))</f>
        <v/>
      </c>
      <c r="I199" s="11" t="str">
        <f aca="false">IF(OR(Registro!A199="",N(G199)=0),"",H199/G199)</f>
        <v/>
      </c>
    </row>
    <row r="200" customFormat="false" ht="15" hidden="false" customHeight="false" outlineLevel="0" collapsed="false">
      <c r="A200" s="5" t="str">
        <f aca="false">IF(Registro!A200="","",Registro!A200)</f>
        <v/>
      </c>
      <c r="B200" s="5" t="str">
        <f aca="false">IF(Registro!A200="","",Registro!B200)</f>
        <v/>
      </c>
      <c r="C200" s="5" t="str">
        <f aca="false">IF(Registro!A200="","",Registro!C200)</f>
        <v/>
      </c>
      <c r="D200" s="5" t="str">
        <f aca="false">IF(Registro!A200="","",Registro!E200)</f>
        <v/>
      </c>
      <c r="E200" s="5" t="str">
        <f aca="false">IF(Registro!A200="","",Registro!G200)</f>
        <v/>
      </c>
      <c r="F200" s="5" t="str">
        <f aca="false">IF(Registro!A200="","",Registro!D200)</f>
        <v/>
      </c>
      <c r="G200" s="5" t="str">
        <f aca="false">IF(Registro!A200="","",Registro!T200)</f>
        <v/>
      </c>
      <c r="H200" s="5" t="str">
        <f aca="false">IF(Registro!A200="","",IF(Registro!D200="Realizada",Registro!L200,0))</f>
        <v/>
      </c>
      <c r="I200" s="11" t="str">
        <f aca="false">IF(OR(Registro!A200="",N(G200)=0),"",H200/G200)</f>
        <v/>
      </c>
    </row>
    <row r="201" customFormat="false" ht="15" hidden="false" customHeight="false" outlineLevel="0" collapsed="false">
      <c r="A201" s="5" t="str">
        <f aca="false">IF(Registro!A201="","",Registro!A201)</f>
        <v/>
      </c>
      <c r="B201" s="5" t="str">
        <f aca="false">IF(Registro!A201="","",Registro!B201)</f>
        <v/>
      </c>
      <c r="C201" s="5" t="str">
        <f aca="false">IF(Registro!A201="","",Registro!C201)</f>
        <v/>
      </c>
      <c r="D201" s="5" t="str">
        <f aca="false">IF(Registro!A201="","",Registro!E201)</f>
        <v/>
      </c>
      <c r="E201" s="5" t="str">
        <f aca="false">IF(Registro!A201="","",Registro!G201)</f>
        <v/>
      </c>
      <c r="F201" s="5" t="str">
        <f aca="false">IF(Registro!A201="","",Registro!D201)</f>
        <v/>
      </c>
      <c r="G201" s="5" t="str">
        <f aca="false">IF(Registro!A201="","",Registro!T201)</f>
        <v/>
      </c>
      <c r="H201" s="5" t="str">
        <f aca="false">IF(Registro!A201="","",IF(Registro!D201="Realizada",Registro!L201,0))</f>
        <v/>
      </c>
      <c r="I201" s="11" t="str">
        <f aca="false">IF(OR(Registro!A201="",N(G201)=0),"",H201/G201)</f>
        <v/>
      </c>
    </row>
    <row r="202" customFormat="false" ht="15" hidden="false" customHeight="false" outlineLevel="0" collapsed="false">
      <c r="A202" s="5" t="str">
        <f aca="false">IF(Registro!A202="","",Registro!A202)</f>
        <v/>
      </c>
      <c r="B202" s="5" t="str">
        <f aca="false">IF(Registro!A202="","",Registro!B202)</f>
        <v/>
      </c>
      <c r="C202" s="5" t="str">
        <f aca="false">IF(Registro!A202="","",Registro!C202)</f>
        <v/>
      </c>
      <c r="D202" s="5" t="str">
        <f aca="false">IF(Registro!A202="","",Registro!E202)</f>
        <v/>
      </c>
      <c r="E202" s="5" t="str">
        <f aca="false">IF(Registro!A202="","",Registro!G202)</f>
        <v/>
      </c>
      <c r="F202" s="5" t="str">
        <f aca="false">IF(Registro!A202="","",Registro!D202)</f>
        <v/>
      </c>
      <c r="G202" s="5" t="str">
        <f aca="false">IF(Registro!A202="","",Registro!T202)</f>
        <v/>
      </c>
      <c r="H202" s="5" t="str">
        <f aca="false">IF(Registro!A202="","",IF(Registro!D202="Realizada",Registro!L202,0))</f>
        <v/>
      </c>
      <c r="I202" s="11" t="str">
        <f aca="false">IF(OR(Registro!A202="",N(G202)=0),"",H202/G202)</f>
        <v/>
      </c>
    </row>
    <row r="203" customFormat="false" ht="15" hidden="false" customHeight="false" outlineLevel="0" collapsed="false">
      <c r="A203" s="5" t="str">
        <f aca="false">IF(Registro!A203="","",Registro!A203)</f>
        <v/>
      </c>
      <c r="B203" s="5" t="str">
        <f aca="false">IF(Registro!A203="","",Registro!B203)</f>
        <v/>
      </c>
      <c r="C203" s="5" t="str">
        <f aca="false">IF(Registro!A203="","",Registro!C203)</f>
        <v/>
      </c>
      <c r="D203" s="5" t="str">
        <f aca="false">IF(Registro!A203="","",Registro!E203)</f>
        <v/>
      </c>
      <c r="E203" s="5" t="str">
        <f aca="false">IF(Registro!A203="","",Registro!G203)</f>
        <v/>
      </c>
      <c r="F203" s="5" t="str">
        <f aca="false">IF(Registro!A203="","",Registro!D203)</f>
        <v/>
      </c>
      <c r="G203" s="5" t="str">
        <f aca="false">IF(Registro!A203="","",Registro!T203)</f>
        <v/>
      </c>
      <c r="H203" s="5" t="str">
        <f aca="false">IF(Registro!A203="","",IF(Registro!D203="Realizada",Registro!L203,0))</f>
        <v/>
      </c>
      <c r="I203" s="11" t="str">
        <f aca="false">IF(OR(Registro!A203="",N(G203)=0),"",H203/G203)</f>
        <v/>
      </c>
    </row>
    <row r="204" customFormat="false" ht="15" hidden="false" customHeight="false" outlineLevel="0" collapsed="false">
      <c r="A204" s="5" t="str">
        <f aca="false">IF(Registro!A204="","",Registro!A204)</f>
        <v/>
      </c>
      <c r="B204" s="5" t="str">
        <f aca="false">IF(Registro!A204="","",Registro!B204)</f>
        <v/>
      </c>
      <c r="C204" s="5" t="str">
        <f aca="false">IF(Registro!A204="","",Registro!C204)</f>
        <v/>
      </c>
      <c r="D204" s="5" t="str">
        <f aca="false">IF(Registro!A204="","",Registro!E204)</f>
        <v/>
      </c>
      <c r="E204" s="5" t="str">
        <f aca="false">IF(Registro!A204="","",Registro!G204)</f>
        <v/>
      </c>
      <c r="F204" s="5" t="str">
        <f aca="false">IF(Registro!A204="","",Registro!D204)</f>
        <v/>
      </c>
      <c r="G204" s="5" t="str">
        <f aca="false">IF(Registro!A204="","",Registro!T204)</f>
        <v/>
      </c>
      <c r="H204" s="5" t="str">
        <f aca="false">IF(Registro!A204="","",IF(Registro!D204="Realizada",Registro!L204,0))</f>
        <v/>
      </c>
      <c r="I204" s="11" t="str">
        <f aca="false">IF(OR(Registro!A204="",N(G204)=0),"",H204/G204)</f>
        <v/>
      </c>
    </row>
    <row r="205" customFormat="false" ht="15" hidden="false" customHeight="false" outlineLevel="0" collapsed="false">
      <c r="A205" s="5" t="str">
        <f aca="false">IF(Registro!A205="","",Registro!A205)</f>
        <v/>
      </c>
      <c r="B205" s="5" t="str">
        <f aca="false">IF(Registro!A205="","",Registro!B205)</f>
        <v/>
      </c>
      <c r="C205" s="5" t="str">
        <f aca="false">IF(Registro!A205="","",Registro!C205)</f>
        <v/>
      </c>
      <c r="D205" s="5" t="str">
        <f aca="false">IF(Registro!A205="","",Registro!E205)</f>
        <v/>
      </c>
      <c r="E205" s="5" t="str">
        <f aca="false">IF(Registro!A205="","",Registro!G205)</f>
        <v/>
      </c>
      <c r="F205" s="5" t="str">
        <f aca="false">IF(Registro!A205="","",Registro!D205)</f>
        <v/>
      </c>
      <c r="G205" s="5" t="str">
        <f aca="false">IF(Registro!A205="","",Registro!T205)</f>
        <v/>
      </c>
      <c r="H205" s="5" t="str">
        <f aca="false">IF(Registro!A205="","",IF(Registro!D205="Realizada",Registro!L205,0))</f>
        <v/>
      </c>
      <c r="I205" s="11" t="str">
        <f aca="false">IF(OR(Registro!A205="",N(G205)=0),"",H205/G205)</f>
        <v/>
      </c>
    </row>
    <row r="206" customFormat="false" ht="15" hidden="false" customHeight="false" outlineLevel="0" collapsed="false">
      <c r="A206" s="5" t="str">
        <f aca="false">IF(Registro!A206="","",Registro!A206)</f>
        <v/>
      </c>
      <c r="B206" s="5" t="str">
        <f aca="false">IF(Registro!A206="","",Registro!B206)</f>
        <v/>
      </c>
      <c r="C206" s="5" t="str">
        <f aca="false">IF(Registro!A206="","",Registro!C206)</f>
        <v/>
      </c>
      <c r="D206" s="5" t="str">
        <f aca="false">IF(Registro!A206="","",Registro!E206)</f>
        <v/>
      </c>
      <c r="E206" s="5" t="str">
        <f aca="false">IF(Registro!A206="","",Registro!G206)</f>
        <v/>
      </c>
      <c r="F206" s="5" t="str">
        <f aca="false">IF(Registro!A206="","",Registro!D206)</f>
        <v/>
      </c>
      <c r="G206" s="5" t="str">
        <f aca="false">IF(Registro!A206="","",Registro!T206)</f>
        <v/>
      </c>
      <c r="H206" s="5" t="str">
        <f aca="false">IF(Registro!A206="","",IF(Registro!D206="Realizada",Registro!L206,0))</f>
        <v/>
      </c>
      <c r="I206" s="11" t="str">
        <f aca="false">IF(OR(Registro!A206="",N(G206)=0),"",H206/G206)</f>
        <v/>
      </c>
    </row>
    <row r="207" customFormat="false" ht="15" hidden="false" customHeight="false" outlineLevel="0" collapsed="false">
      <c r="A207" s="5" t="str">
        <f aca="false">IF(Registro!A207="","",Registro!A207)</f>
        <v/>
      </c>
      <c r="B207" s="5" t="str">
        <f aca="false">IF(Registro!A207="","",Registro!B207)</f>
        <v/>
      </c>
      <c r="C207" s="5" t="str">
        <f aca="false">IF(Registro!A207="","",Registro!C207)</f>
        <v/>
      </c>
      <c r="D207" s="5" t="str">
        <f aca="false">IF(Registro!A207="","",Registro!E207)</f>
        <v/>
      </c>
      <c r="E207" s="5" t="str">
        <f aca="false">IF(Registro!A207="","",Registro!G207)</f>
        <v/>
      </c>
      <c r="F207" s="5" t="str">
        <f aca="false">IF(Registro!A207="","",Registro!D207)</f>
        <v/>
      </c>
      <c r="G207" s="5" t="str">
        <f aca="false">IF(Registro!A207="","",Registro!T207)</f>
        <v/>
      </c>
      <c r="H207" s="5" t="str">
        <f aca="false">IF(Registro!A207="","",IF(Registro!D207="Realizada",Registro!L207,0))</f>
        <v/>
      </c>
      <c r="I207" s="11" t="str">
        <f aca="false">IF(OR(Registro!A207="",N(G207)=0),"",H207/G207)</f>
        <v/>
      </c>
    </row>
    <row r="208" customFormat="false" ht="15" hidden="false" customHeight="false" outlineLevel="0" collapsed="false">
      <c r="A208" s="5" t="str">
        <f aca="false">IF(Registro!A208="","",Registro!A208)</f>
        <v/>
      </c>
      <c r="B208" s="5" t="str">
        <f aca="false">IF(Registro!A208="","",Registro!B208)</f>
        <v/>
      </c>
      <c r="C208" s="5" t="str">
        <f aca="false">IF(Registro!A208="","",Registro!C208)</f>
        <v/>
      </c>
      <c r="D208" s="5" t="str">
        <f aca="false">IF(Registro!A208="","",Registro!E208)</f>
        <v/>
      </c>
      <c r="E208" s="5" t="str">
        <f aca="false">IF(Registro!A208="","",Registro!G208)</f>
        <v/>
      </c>
      <c r="F208" s="5" t="str">
        <f aca="false">IF(Registro!A208="","",Registro!D208)</f>
        <v/>
      </c>
      <c r="G208" s="5" t="str">
        <f aca="false">IF(Registro!A208="","",Registro!T208)</f>
        <v/>
      </c>
      <c r="H208" s="5" t="str">
        <f aca="false">IF(Registro!A208="","",IF(Registro!D208="Realizada",Registro!L208,0))</f>
        <v/>
      </c>
      <c r="I208" s="11" t="str">
        <f aca="false">IF(OR(Registro!A208="",N(G208)=0),"",H208/G208)</f>
        <v/>
      </c>
    </row>
    <row r="209" customFormat="false" ht="15" hidden="false" customHeight="false" outlineLevel="0" collapsed="false">
      <c r="A209" s="5" t="str">
        <f aca="false">IF(Registro!A209="","",Registro!A209)</f>
        <v/>
      </c>
      <c r="B209" s="5" t="str">
        <f aca="false">IF(Registro!A209="","",Registro!B209)</f>
        <v/>
      </c>
      <c r="C209" s="5" t="str">
        <f aca="false">IF(Registro!A209="","",Registro!C209)</f>
        <v/>
      </c>
      <c r="D209" s="5" t="str">
        <f aca="false">IF(Registro!A209="","",Registro!E209)</f>
        <v/>
      </c>
      <c r="E209" s="5" t="str">
        <f aca="false">IF(Registro!A209="","",Registro!G209)</f>
        <v/>
      </c>
      <c r="F209" s="5" t="str">
        <f aca="false">IF(Registro!A209="","",Registro!D209)</f>
        <v/>
      </c>
      <c r="G209" s="5" t="str">
        <f aca="false">IF(Registro!A209="","",Registro!T209)</f>
        <v/>
      </c>
      <c r="H209" s="5" t="str">
        <f aca="false">IF(Registro!A209="","",IF(Registro!D209="Realizada",Registro!L209,0))</f>
        <v/>
      </c>
      <c r="I209" s="11" t="str">
        <f aca="false">IF(OR(Registro!A209="",N(G209)=0),"",H209/G209)</f>
        <v/>
      </c>
    </row>
    <row r="210" customFormat="false" ht="15" hidden="false" customHeight="false" outlineLevel="0" collapsed="false">
      <c r="A210" s="5" t="str">
        <f aca="false">IF(Registro!A210="","",Registro!A210)</f>
        <v/>
      </c>
      <c r="B210" s="5" t="str">
        <f aca="false">IF(Registro!A210="","",Registro!B210)</f>
        <v/>
      </c>
      <c r="C210" s="5" t="str">
        <f aca="false">IF(Registro!A210="","",Registro!C210)</f>
        <v/>
      </c>
      <c r="D210" s="5" t="str">
        <f aca="false">IF(Registro!A210="","",Registro!E210)</f>
        <v/>
      </c>
      <c r="E210" s="5" t="str">
        <f aca="false">IF(Registro!A210="","",Registro!G210)</f>
        <v/>
      </c>
      <c r="F210" s="5" t="str">
        <f aca="false">IF(Registro!A210="","",Registro!D210)</f>
        <v/>
      </c>
      <c r="G210" s="5" t="str">
        <f aca="false">IF(Registro!A210="","",Registro!T210)</f>
        <v/>
      </c>
      <c r="H210" s="5" t="str">
        <f aca="false">IF(Registro!A210="","",IF(Registro!D210="Realizada",Registro!L210,0))</f>
        <v/>
      </c>
      <c r="I210" s="11" t="str">
        <f aca="false">IF(OR(Registro!A210="",N(G210)=0),"",H210/G210)</f>
        <v/>
      </c>
    </row>
    <row r="211" customFormat="false" ht="15" hidden="false" customHeight="false" outlineLevel="0" collapsed="false">
      <c r="A211" s="5" t="str">
        <f aca="false">IF(Registro!A211="","",Registro!A211)</f>
        <v/>
      </c>
      <c r="B211" s="5" t="str">
        <f aca="false">IF(Registro!A211="","",Registro!B211)</f>
        <v/>
      </c>
      <c r="C211" s="5" t="str">
        <f aca="false">IF(Registro!A211="","",Registro!C211)</f>
        <v/>
      </c>
      <c r="D211" s="5" t="str">
        <f aca="false">IF(Registro!A211="","",Registro!E211)</f>
        <v/>
      </c>
      <c r="E211" s="5" t="str">
        <f aca="false">IF(Registro!A211="","",Registro!G211)</f>
        <v/>
      </c>
      <c r="F211" s="5" t="str">
        <f aca="false">IF(Registro!A211="","",Registro!D211)</f>
        <v/>
      </c>
      <c r="G211" s="5" t="str">
        <f aca="false">IF(Registro!A211="","",Registro!T211)</f>
        <v/>
      </c>
      <c r="H211" s="5" t="str">
        <f aca="false">IF(Registro!A211="","",IF(Registro!D211="Realizada",Registro!L211,0))</f>
        <v/>
      </c>
      <c r="I211" s="11" t="str">
        <f aca="false">IF(OR(Registro!A211="",N(G211)=0),"",H211/G211)</f>
        <v/>
      </c>
    </row>
    <row r="212" customFormat="false" ht="15" hidden="false" customHeight="false" outlineLevel="0" collapsed="false">
      <c r="A212" s="5" t="str">
        <f aca="false">IF(Registro!A212="","",Registro!A212)</f>
        <v/>
      </c>
      <c r="B212" s="5" t="str">
        <f aca="false">IF(Registro!A212="","",Registro!B212)</f>
        <v/>
      </c>
      <c r="C212" s="5" t="str">
        <f aca="false">IF(Registro!A212="","",Registro!C212)</f>
        <v/>
      </c>
      <c r="D212" s="5" t="str">
        <f aca="false">IF(Registro!A212="","",Registro!E212)</f>
        <v/>
      </c>
      <c r="E212" s="5" t="str">
        <f aca="false">IF(Registro!A212="","",Registro!G212)</f>
        <v/>
      </c>
      <c r="F212" s="5" t="str">
        <f aca="false">IF(Registro!A212="","",Registro!D212)</f>
        <v/>
      </c>
      <c r="G212" s="5" t="str">
        <f aca="false">IF(Registro!A212="","",Registro!T212)</f>
        <v/>
      </c>
      <c r="H212" s="5" t="str">
        <f aca="false">IF(Registro!A212="","",IF(Registro!D212="Realizada",Registro!L212,0))</f>
        <v/>
      </c>
      <c r="I212" s="11" t="str">
        <f aca="false">IF(OR(Registro!A212="",N(G212)=0),"",H212/G212)</f>
        <v/>
      </c>
    </row>
    <row r="213" customFormat="false" ht="15" hidden="false" customHeight="false" outlineLevel="0" collapsed="false">
      <c r="A213" s="5" t="str">
        <f aca="false">IF(Registro!A213="","",Registro!A213)</f>
        <v/>
      </c>
      <c r="B213" s="5" t="str">
        <f aca="false">IF(Registro!A213="","",Registro!B213)</f>
        <v/>
      </c>
      <c r="C213" s="5" t="str">
        <f aca="false">IF(Registro!A213="","",Registro!C213)</f>
        <v/>
      </c>
      <c r="D213" s="5" t="str">
        <f aca="false">IF(Registro!A213="","",Registro!E213)</f>
        <v/>
      </c>
      <c r="E213" s="5" t="str">
        <f aca="false">IF(Registro!A213="","",Registro!G213)</f>
        <v/>
      </c>
      <c r="F213" s="5" t="str">
        <f aca="false">IF(Registro!A213="","",Registro!D213)</f>
        <v/>
      </c>
      <c r="G213" s="5" t="str">
        <f aca="false">IF(Registro!A213="","",Registro!T213)</f>
        <v/>
      </c>
      <c r="H213" s="5" t="str">
        <f aca="false">IF(Registro!A213="","",IF(Registro!D213="Realizada",Registro!L213,0))</f>
        <v/>
      </c>
      <c r="I213" s="11" t="str">
        <f aca="false">IF(OR(Registro!A213="",N(G213)=0),"",H213/G213)</f>
        <v/>
      </c>
    </row>
    <row r="214" customFormat="false" ht="15" hidden="false" customHeight="false" outlineLevel="0" collapsed="false">
      <c r="A214" s="5" t="str">
        <f aca="false">IF(Registro!A214="","",Registro!A214)</f>
        <v/>
      </c>
      <c r="B214" s="5" t="str">
        <f aca="false">IF(Registro!A214="","",Registro!B214)</f>
        <v/>
      </c>
      <c r="C214" s="5" t="str">
        <f aca="false">IF(Registro!A214="","",Registro!C214)</f>
        <v/>
      </c>
      <c r="D214" s="5" t="str">
        <f aca="false">IF(Registro!A214="","",Registro!E214)</f>
        <v/>
      </c>
      <c r="E214" s="5" t="str">
        <f aca="false">IF(Registro!A214="","",Registro!G214)</f>
        <v/>
      </c>
      <c r="F214" s="5" t="str">
        <f aca="false">IF(Registro!A214="","",Registro!D214)</f>
        <v/>
      </c>
      <c r="G214" s="5" t="str">
        <f aca="false">IF(Registro!A214="","",Registro!T214)</f>
        <v/>
      </c>
      <c r="H214" s="5" t="str">
        <f aca="false">IF(Registro!A214="","",IF(Registro!D214="Realizada",Registro!L214,0))</f>
        <v/>
      </c>
      <c r="I214" s="11" t="str">
        <f aca="false">IF(OR(Registro!A214="",N(G214)=0),"",H214/G214)</f>
        <v/>
      </c>
    </row>
    <row r="215" customFormat="false" ht="15" hidden="false" customHeight="false" outlineLevel="0" collapsed="false">
      <c r="A215" s="5" t="str">
        <f aca="false">IF(Registro!A215="","",Registro!A215)</f>
        <v/>
      </c>
      <c r="B215" s="5" t="str">
        <f aca="false">IF(Registro!A215="","",Registro!B215)</f>
        <v/>
      </c>
      <c r="C215" s="5" t="str">
        <f aca="false">IF(Registro!A215="","",Registro!C215)</f>
        <v/>
      </c>
      <c r="D215" s="5" t="str">
        <f aca="false">IF(Registro!A215="","",Registro!E215)</f>
        <v/>
      </c>
      <c r="E215" s="5" t="str">
        <f aca="false">IF(Registro!A215="","",Registro!G215)</f>
        <v/>
      </c>
      <c r="F215" s="5" t="str">
        <f aca="false">IF(Registro!A215="","",Registro!D215)</f>
        <v/>
      </c>
      <c r="G215" s="5" t="str">
        <f aca="false">IF(Registro!A215="","",Registro!T215)</f>
        <v/>
      </c>
      <c r="H215" s="5" t="str">
        <f aca="false">IF(Registro!A215="","",IF(Registro!D215="Realizada",Registro!L215,0))</f>
        <v/>
      </c>
      <c r="I215" s="11" t="str">
        <f aca="false">IF(OR(Registro!A215="",N(G215)=0),"",H215/G215)</f>
        <v/>
      </c>
    </row>
    <row r="216" customFormat="false" ht="15" hidden="false" customHeight="false" outlineLevel="0" collapsed="false">
      <c r="A216" s="5" t="str">
        <f aca="false">IF(Registro!A216="","",Registro!A216)</f>
        <v/>
      </c>
      <c r="B216" s="5" t="str">
        <f aca="false">IF(Registro!A216="","",Registro!B216)</f>
        <v/>
      </c>
      <c r="C216" s="5" t="str">
        <f aca="false">IF(Registro!A216="","",Registro!C216)</f>
        <v/>
      </c>
      <c r="D216" s="5" t="str">
        <f aca="false">IF(Registro!A216="","",Registro!E216)</f>
        <v/>
      </c>
      <c r="E216" s="5" t="str">
        <f aca="false">IF(Registro!A216="","",Registro!G216)</f>
        <v/>
      </c>
      <c r="F216" s="5" t="str">
        <f aca="false">IF(Registro!A216="","",Registro!D216)</f>
        <v/>
      </c>
      <c r="G216" s="5" t="str">
        <f aca="false">IF(Registro!A216="","",Registro!T216)</f>
        <v/>
      </c>
      <c r="H216" s="5" t="str">
        <f aca="false">IF(Registro!A216="","",IF(Registro!D216="Realizada",Registro!L216,0))</f>
        <v/>
      </c>
      <c r="I216" s="11" t="str">
        <f aca="false">IF(OR(Registro!A216="",N(G216)=0),"",H216/G216)</f>
        <v/>
      </c>
    </row>
    <row r="217" customFormat="false" ht="15" hidden="false" customHeight="false" outlineLevel="0" collapsed="false">
      <c r="A217" s="5" t="str">
        <f aca="false">IF(Registro!A217="","",Registro!A217)</f>
        <v/>
      </c>
      <c r="B217" s="5" t="str">
        <f aca="false">IF(Registro!A217="","",Registro!B217)</f>
        <v/>
      </c>
      <c r="C217" s="5" t="str">
        <f aca="false">IF(Registro!A217="","",Registro!C217)</f>
        <v/>
      </c>
      <c r="D217" s="5" t="str">
        <f aca="false">IF(Registro!A217="","",Registro!E217)</f>
        <v/>
      </c>
      <c r="E217" s="5" t="str">
        <f aca="false">IF(Registro!A217="","",Registro!G217)</f>
        <v/>
      </c>
      <c r="F217" s="5" t="str">
        <f aca="false">IF(Registro!A217="","",Registro!D217)</f>
        <v/>
      </c>
      <c r="G217" s="5" t="str">
        <f aca="false">IF(Registro!A217="","",Registro!T217)</f>
        <v/>
      </c>
      <c r="H217" s="5" t="str">
        <f aca="false">IF(Registro!A217="","",IF(Registro!D217="Realizada",Registro!L217,0))</f>
        <v/>
      </c>
      <c r="I217" s="11" t="str">
        <f aca="false">IF(OR(Registro!A217="",N(G217)=0),"",H217/G217)</f>
        <v/>
      </c>
    </row>
    <row r="218" customFormat="false" ht="15" hidden="false" customHeight="false" outlineLevel="0" collapsed="false">
      <c r="A218" s="5" t="str">
        <f aca="false">IF(Registro!A218="","",Registro!A218)</f>
        <v/>
      </c>
      <c r="B218" s="5" t="str">
        <f aca="false">IF(Registro!A218="","",Registro!B218)</f>
        <v/>
      </c>
      <c r="C218" s="5" t="str">
        <f aca="false">IF(Registro!A218="","",Registro!C218)</f>
        <v/>
      </c>
      <c r="D218" s="5" t="str">
        <f aca="false">IF(Registro!A218="","",Registro!E218)</f>
        <v/>
      </c>
      <c r="E218" s="5" t="str">
        <f aca="false">IF(Registro!A218="","",Registro!G218)</f>
        <v/>
      </c>
      <c r="F218" s="5" t="str">
        <f aca="false">IF(Registro!A218="","",Registro!D218)</f>
        <v/>
      </c>
      <c r="G218" s="5" t="str">
        <f aca="false">IF(Registro!A218="","",Registro!T218)</f>
        <v/>
      </c>
      <c r="H218" s="5" t="str">
        <f aca="false">IF(Registro!A218="","",IF(Registro!D218="Realizada",Registro!L218,0))</f>
        <v/>
      </c>
      <c r="I218" s="11" t="str">
        <f aca="false">IF(OR(Registro!A218="",N(G218)=0),"",H218/G218)</f>
        <v/>
      </c>
    </row>
    <row r="219" customFormat="false" ht="15" hidden="false" customHeight="false" outlineLevel="0" collapsed="false">
      <c r="A219" s="5" t="str">
        <f aca="false">IF(Registro!A219="","",Registro!A219)</f>
        <v/>
      </c>
      <c r="B219" s="5" t="str">
        <f aca="false">IF(Registro!A219="","",Registro!B219)</f>
        <v/>
      </c>
      <c r="C219" s="5" t="str">
        <f aca="false">IF(Registro!A219="","",Registro!C219)</f>
        <v/>
      </c>
      <c r="D219" s="5" t="str">
        <f aca="false">IF(Registro!A219="","",Registro!E219)</f>
        <v/>
      </c>
      <c r="E219" s="5" t="str">
        <f aca="false">IF(Registro!A219="","",Registro!G219)</f>
        <v/>
      </c>
      <c r="F219" s="5" t="str">
        <f aca="false">IF(Registro!A219="","",Registro!D219)</f>
        <v/>
      </c>
      <c r="G219" s="5" t="str">
        <f aca="false">IF(Registro!A219="","",Registro!T219)</f>
        <v/>
      </c>
      <c r="H219" s="5" t="str">
        <f aca="false">IF(Registro!A219="","",IF(Registro!D219="Realizada",Registro!L219,0))</f>
        <v/>
      </c>
      <c r="I219" s="11" t="str">
        <f aca="false">IF(OR(Registro!A219="",N(G219)=0),"",H219/G219)</f>
        <v/>
      </c>
    </row>
    <row r="220" customFormat="false" ht="15" hidden="false" customHeight="false" outlineLevel="0" collapsed="false">
      <c r="A220" s="5" t="str">
        <f aca="false">IF(Registro!A220="","",Registro!A220)</f>
        <v/>
      </c>
      <c r="B220" s="5" t="str">
        <f aca="false">IF(Registro!A220="","",Registro!B220)</f>
        <v/>
      </c>
      <c r="C220" s="5" t="str">
        <f aca="false">IF(Registro!A220="","",Registro!C220)</f>
        <v/>
      </c>
      <c r="D220" s="5" t="str">
        <f aca="false">IF(Registro!A220="","",Registro!E220)</f>
        <v/>
      </c>
      <c r="E220" s="5" t="str">
        <f aca="false">IF(Registro!A220="","",Registro!G220)</f>
        <v/>
      </c>
      <c r="F220" s="5" t="str">
        <f aca="false">IF(Registro!A220="","",Registro!D220)</f>
        <v/>
      </c>
      <c r="G220" s="5" t="str">
        <f aca="false">IF(Registro!A220="","",Registro!T220)</f>
        <v/>
      </c>
      <c r="H220" s="5" t="str">
        <f aca="false">IF(Registro!A220="","",IF(Registro!D220="Realizada",Registro!L220,0))</f>
        <v/>
      </c>
      <c r="I220" s="11" t="str">
        <f aca="false">IF(OR(Registro!A220="",N(G220)=0),"",H220/G220)</f>
        <v/>
      </c>
    </row>
    <row r="221" customFormat="false" ht="15" hidden="false" customHeight="false" outlineLevel="0" collapsed="false">
      <c r="A221" s="5" t="str">
        <f aca="false">IF(Registro!A221="","",Registro!A221)</f>
        <v/>
      </c>
      <c r="B221" s="5" t="str">
        <f aca="false">IF(Registro!A221="","",Registro!B221)</f>
        <v/>
      </c>
      <c r="C221" s="5" t="str">
        <f aca="false">IF(Registro!A221="","",Registro!C221)</f>
        <v/>
      </c>
      <c r="D221" s="5" t="str">
        <f aca="false">IF(Registro!A221="","",Registro!E221)</f>
        <v/>
      </c>
      <c r="E221" s="5" t="str">
        <f aca="false">IF(Registro!A221="","",Registro!G221)</f>
        <v/>
      </c>
      <c r="F221" s="5" t="str">
        <f aca="false">IF(Registro!A221="","",Registro!D221)</f>
        <v/>
      </c>
      <c r="G221" s="5" t="str">
        <f aca="false">IF(Registro!A221="","",Registro!T221)</f>
        <v/>
      </c>
      <c r="H221" s="5" t="str">
        <f aca="false">IF(Registro!A221="","",IF(Registro!D221="Realizada",Registro!L221,0))</f>
        <v/>
      </c>
      <c r="I221" s="11" t="str">
        <f aca="false">IF(OR(Registro!A221="",N(G221)=0),"",H221/G221)</f>
        <v/>
      </c>
    </row>
    <row r="222" customFormat="false" ht="15" hidden="false" customHeight="false" outlineLevel="0" collapsed="false">
      <c r="A222" s="5" t="str">
        <f aca="false">IF(Registro!A222="","",Registro!A222)</f>
        <v/>
      </c>
      <c r="B222" s="5" t="str">
        <f aca="false">IF(Registro!A222="","",Registro!B222)</f>
        <v/>
      </c>
      <c r="C222" s="5" t="str">
        <f aca="false">IF(Registro!A222="","",Registro!C222)</f>
        <v/>
      </c>
      <c r="D222" s="5" t="str">
        <f aca="false">IF(Registro!A222="","",Registro!E222)</f>
        <v/>
      </c>
      <c r="E222" s="5" t="str">
        <f aca="false">IF(Registro!A222="","",Registro!G222)</f>
        <v/>
      </c>
      <c r="F222" s="5" t="str">
        <f aca="false">IF(Registro!A222="","",Registro!D222)</f>
        <v/>
      </c>
      <c r="G222" s="5" t="str">
        <f aca="false">IF(Registro!A222="","",Registro!T222)</f>
        <v/>
      </c>
      <c r="H222" s="5" t="str">
        <f aca="false">IF(Registro!A222="","",IF(Registro!D222="Realizada",Registro!L222,0))</f>
        <v/>
      </c>
      <c r="I222" s="11" t="str">
        <f aca="false">IF(OR(Registro!A222="",N(G222)=0),"",H222/G222)</f>
        <v/>
      </c>
    </row>
    <row r="223" customFormat="false" ht="15" hidden="false" customHeight="false" outlineLevel="0" collapsed="false">
      <c r="A223" s="5" t="str">
        <f aca="false">IF(Registro!A223="","",Registro!A223)</f>
        <v/>
      </c>
      <c r="B223" s="5" t="str">
        <f aca="false">IF(Registro!A223="","",Registro!B223)</f>
        <v/>
      </c>
      <c r="C223" s="5" t="str">
        <f aca="false">IF(Registro!A223="","",Registro!C223)</f>
        <v/>
      </c>
      <c r="D223" s="5" t="str">
        <f aca="false">IF(Registro!A223="","",Registro!E223)</f>
        <v/>
      </c>
      <c r="E223" s="5" t="str">
        <f aca="false">IF(Registro!A223="","",Registro!G223)</f>
        <v/>
      </c>
      <c r="F223" s="5" t="str">
        <f aca="false">IF(Registro!A223="","",Registro!D223)</f>
        <v/>
      </c>
      <c r="G223" s="5" t="str">
        <f aca="false">IF(Registro!A223="","",Registro!T223)</f>
        <v/>
      </c>
      <c r="H223" s="5" t="str">
        <f aca="false">IF(Registro!A223="","",IF(Registro!D223="Realizada",Registro!L223,0))</f>
        <v/>
      </c>
      <c r="I223" s="11" t="str">
        <f aca="false">IF(OR(Registro!A223="",N(G223)=0),"",H223/G223)</f>
        <v/>
      </c>
    </row>
    <row r="224" customFormat="false" ht="15" hidden="false" customHeight="false" outlineLevel="0" collapsed="false">
      <c r="A224" s="5" t="str">
        <f aca="false">IF(Registro!A224="","",Registro!A224)</f>
        <v/>
      </c>
      <c r="B224" s="5" t="str">
        <f aca="false">IF(Registro!A224="","",Registro!B224)</f>
        <v/>
      </c>
      <c r="C224" s="5" t="str">
        <f aca="false">IF(Registro!A224="","",Registro!C224)</f>
        <v/>
      </c>
      <c r="D224" s="5" t="str">
        <f aca="false">IF(Registro!A224="","",Registro!E224)</f>
        <v/>
      </c>
      <c r="E224" s="5" t="str">
        <f aca="false">IF(Registro!A224="","",Registro!G224)</f>
        <v/>
      </c>
      <c r="F224" s="5" t="str">
        <f aca="false">IF(Registro!A224="","",Registro!D224)</f>
        <v/>
      </c>
      <c r="G224" s="5" t="str">
        <f aca="false">IF(Registro!A224="","",Registro!T224)</f>
        <v/>
      </c>
      <c r="H224" s="5" t="str">
        <f aca="false">IF(Registro!A224="","",IF(Registro!D224="Realizada",Registro!L224,0))</f>
        <v/>
      </c>
      <c r="I224" s="11" t="str">
        <f aca="false">IF(OR(Registro!A224="",N(G224)=0),"",H224/G224)</f>
        <v/>
      </c>
    </row>
    <row r="225" customFormat="false" ht="15" hidden="false" customHeight="false" outlineLevel="0" collapsed="false">
      <c r="A225" s="5" t="str">
        <f aca="false">IF(Registro!A225="","",Registro!A225)</f>
        <v/>
      </c>
      <c r="B225" s="5" t="str">
        <f aca="false">IF(Registro!A225="","",Registro!B225)</f>
        <v/>
      </c>
      <c r="C225" s="5" t="str">
        <f aca="false">IF(Registro!A225="","",Registro!C225)</f>
        <v/>
      </c>
      <c r="D225" s="5" t="str">
        <f aca="false">IF(Registro!A225="","",Registro!E225)</f>
        <v/>
      </c>
      <c r="E225" s="5" t="str">
        <f aca="false">IF(Registro!A225="","",Registro!G225)</f>
        <v/>
      </c>
      <c r="F225" s="5" t="str">
        <f aca="false">IF(Registro!A225="","",Registro!D225)</f>
        <v/>
      </c>
      <c r="G225" s="5" t="str">
        <f aca="false">IF(Registro!A225="","",Registro!T225)</f>
        <v/>
      </c>
      <c r="H225" s="5" t="str">
        <f aca="false">IF(Registro!A225="","",IF(Registro!D225="Realizada",Registro!L225,0))</f>
        <v/>
      </c>
      <c r="I225" s="11" t="str">
        <f aca="false">IF(OR(Registro!A225="",N(G225)=0),"",H225/G225)</f>
        <v/>
      </c>
    </row>
    <row r="226" customFormat="false" ht="15" hidden="false" customHeight="false" outlineLevel="0" collapsed="false">
      <c r="A226" s="5" t="str">
        <f aca="false">IF(Registro!A226="","",Registro!A226)</f>
        <v/>
      </c>
      <c r="B226" s="5" t="str">
        <f aca="false">IF(Registro!A226="","",Registro!B226)</f>
        <v/>
      </c>
      <c r="C226" s="5" t="str">
        <f aca="false">IF(Registro!A226="","",Registro!C226)</f>
        <v/>
      </c>
      <c r="D226" s="5" t="str">
        <f aca="false">IF(Registro!A226="","",Registro!E226)</f>
        <v/>
      </c>
      <c r="E226" s="5" t="str">
        <f aca="false">IF(Registro!A226="","",Registro!G226)</f>
        <v/>
      </c>
      <c r="F226" s="5" t="str">
        <f aca="false">IF(Registro!A226="","",Registro!D226)</f>
        <v/>
      </c>
      <c r="G226" s="5" t="str">
        <f aca="false">IF(Registro!A226="","",Registro!T226)</f>
        <v/>
      </c>
      <c r="H226" s="5" t="str">
        <f aca="false">IF(Registro!A226="","",IF(Registro!D226="Realizada",Registro!L226,0))</f>
        <v/>
      </c>
      <c r="I226" s="11" t="str">
        <f aca="false">IF(OR(Registro!A226="",N(G226)=0),"",H226/G226)</f>
        <v/>
      </c>
    </row>
    <row r="227" customFormat="false" ht="15" hidden="false" customHeight="false" outlineLevel="0" collapsed="false">
      <c r="A227" s="5" t="str">
        <f aca="false">IF(Registro!A227="","",Registro!A227)</f>
        <v/>
      </c>
      <c r="B227" s="5" t="str">
        <f aca="false">IF(Registro!A227="","",Registro!B227)</f>
        <v/>
      </c>
      <c r="C227" s="5" t="str">
        <f aca="false">IF(Registro!A227="","",Registro!C227)</f>
        <v/>
      </c>
      <c r="D227" s="5" t="str">
        <f aca="false">IF(Registro!A227="","",Registro!E227)</f>
        <v/>
      </c>
      <c r="E227" s="5" t="str">
        <f aca="false">IF(Registro!A227="","",Registro!G227)</f>
        <v/>
      </c>
      <c r="F227" s="5" t="str">
        <f aca="false">IF(Registro!A227="","",Registro!D227)</f>
        <v/>
      </c>
      <c r="G227" s="5" t="str">
        <f aca="false">IF(Registro!A227="","",Registro!T227)</f>
        <v/>
      </c>
      <c r="H227" s="5" t="str">
        <f aca="false">IF(Registro!A227="","",IF(Registro!D227="Realizada",Registro!L227,0))</f>
        <v/>
      </c>
      <c r="I227" s="11" t="str">
        <f aca="false">IF(OR(Registro!A227="",N(G227)=0),"",H227/G227)</f>
        <v/>
      </c>
    </row>
    <row r="228" customFormat="false" ht="15" hidden="false" customHeight="false" outlineLevel="0" collapsed="false">
      <c r="A228" s="5" t="str">
        <f aca="false">IF(Registro!A228="","",Registro!A228)</f>
        <v/>
      </c>
      <c r="B228" s="5" t="str">
        <f aca="false">IF(Registro!A228="","",Registro!B228)</f>
        <v/>
      </c>
      <c r="C228" s="5" t="str">
        <f aca="false">IF(Registro!A228="","",Registro!C228)</f>
        <v/>
      </c>
      <c r="D228" s="5" t="str">
        <f aca="false">IF(Registro!A228="","",Registro!E228)</f>
        <v/>
      </c>
      <c r="E228" s="5" t="str">
        <f aca="false">IF(Registro!A228="","",Registro!G228)</f>
        <v/>
      </c>
      <c r="F228" s="5" t="str">
        <f aca="false">IF(Registro!A228="","",Registro!D228)</f>
        <v/>
      </c>
      <c r="G228" s="5" t="str">
        <f aca="false">IF(Registro!A228="","",Registro!T228)</f>
        <v/>
      </c>
      <c r="H228" s="5" t="str">
        <f aca="false">IF(Registro!A228="","",IF(Registro!D228="Realizada",Registro!L228,0))</f>
        <v/>
      </c>
      <c r="I228" s="11" t="str">
        <f aca="false">IF(OR(Registro!A228="",N(G228)=0),"",H228/G228)</f>
        <v/>
      </c>
    </row>
    <row r="229" customFormat="false" ht="15" hidden="false" customHeight="false" outlineLevel="0" collapsed="false">
      <c r="A229" s="5" t="str">
        <f aca="false">IF(Registro!A229="","",Registro!A229)</f>
        <v/>
      </c>
      <c r="B229" s="5" t="str">
        <f aca="false">IF(Registro!A229="","",Registro!B229)</f>
        <v/>
      </c>
      <c r="C229" s="5" t="str">
        <f aca="false">IF(Registro!A229="","",Registro!C229)</f>
        <v/>
      </c>
      <c r="D229" s="5" t="str">
        <f aca="false">IF(Registro!A229="","",Registro!E229)</f>
        <v/>
      </c>
      <c r="E229" s="5" t="str">
        <f aca="false">IF(Registro!A229="","",Registro!G229)</f>
        <v/>
      </c>
      <c r="F229" s="5" t="str">
        <f aca="false">IF(Registro!A229="","",Registro!D229)</f>
        <v/>
      </c>
      <c r="G229" s="5" t="str">
        <f aca="false">IF(Registro!A229="","",Registro!T229)</f>
        <v/>
      </c>
      <c r="H229" s="5" t="str">
        <f aca="false">IF(Registro!A229="","",IF(Registro!D229="Realizada",Registro!L229,0))</f>
        <v/>
      </c>
      <c r="I229" s="11" t="str">
        <f aca="false">IF(OR(Registro!A229="",N(G229)=0),"",H229/G229)</f>
        <v/>
      </c>
    </row>
    <row r="230" customFormat="false" ht="15" hidden="false" customHeight="false" outlineLevel="0" collapsed="false">
      <c r="A230" s="5" t="str">
        <f aca="false">IF(Registro!A230="","",Registro!A230)</f>
        <v/>
      </c>
      <c r="B230" s="5" t="str">
        <f aca="false">IF(Registro!A230="","",Registro!B230)</f>
        <v/>
      </c>
      <c r="C230" s="5" t="str">
        <f aca="false">IF(Registro!A230="","",Registro!C230)</f>
        <v/>
      </c>
      <c r="D230" s="5" t="str">
        <f aca="false">IF(Registro!A230="","",Registro!E230)</f>
        <v/>
      </c>
      <c r="E230" s="5" t="str">
        <f aca="false">IF(Registro!A230="","",Registro!G230)</f>
        <v/>
      </c>
      <c r="F230" s="5" t="str">
        <f aca="false">IF(Registro!A230="","",Registro!D230)</f>
        <v/>
      </c>
      <c r="G230" s="5" t="str">
        <f aca="false">IF(Registro!A230="","",Registro!T230)</f>
        <v/>
      </c>
      <c r="H230" s="5" t="str">
        <f aca="false">IF(Registro!A230="","",IF(Registro!D230="Realizada",Registro!L230,0))</f>
        <v/>
      </c>
      <c r="I230" s="11" t="str">
        <f aca="false">IF(OR(Registro!A230="",N(G230)=0),"",H230/G230)</f>
        <v/>
      </c>
    </row>
    <row r="231" customFormat="false" ht="15" hidden="false" customHeight="false" outlineLevel="0" collapsed="false">
      <c r="A231" s="5" t="str">
        <f aca="false">IF(Registro!A231="","",Registro!A231)</f>
        <v/>
      </c>
      <c r="B231" s="5" t="str">
        <f aca="false">IF(Registro!A231="","",Registro!B231)</f>
        <v/>
      </c>
      <c r="C231" s="5" t="str">
        <f aca="false">IF(Registro!A231="","",Registro!C231)</f>
        <v/>
      </c>
      <c r="D231" s="5" t="str">
        <f aca="false">IF(Registro!A231="","",Registro!E231)</f>
        <v/>
      </c>
      <c r="E231" s="5" t="str">
        <f aca="false">IF(Registro!A231="","",Registro!G231)</f>
        <v/>
      </c>
      <c r="F231" s="5" t="str">
        <f aca="false">IF(Registro!A231="","",Registro!D231)</f>
        <v/>
      </c>
      <c r="G231" s="5" t="str">
        <f aca="false">IF(Registro!A231="","",Registro!T231)</f>
        <v/>
      </c>
      <c r="H231" s="5" t="str">
        <f aca="false">IF(Registro!A231="","",IF(Registro!D231="Realizada",Registro!L231,0))</f>
        <v/>
      </c>
      <c r="I231" s="11" t="str">
        <f aca="false">IF(OR(Registro!A231="",N(G231)=0),"",H231/G231)</f>
        <v/>
      </c>
    </row>
    <row r="232" customFormat="false" ht="15" hidden="false" customHeight="false" outlineLevel="0" collapsed="false">
      <c r="A232" s="5" t="str">
        <f aca="false">IF(Registro!A232="","",Registro!A232)</f>
        <v/>
      </c>
      <c r="B232" s="5" t="str">
        <f aca="false">IF(Registro!A232="","",Registro!B232)</f>
        <v/>
      </c>
      <c r="C232" s="5" t="str">
        <f aca="false">IF(Registro!A232="","",Registro!C232)</f>
        <v/>
      </c>
      <c r="D232" s="5" t="str">
        <f aca="false">IF(Registro!A232="","",Registro!E232)</f>
        <v/>
      </c>
      <c r="E232" s="5" t="str">
        <f aca="false">IF(Registro!A232="","",Registro!G232)</f>
        <v/>
      </c>
      <c r="F232" s="5" t="str">
        <f aca="false">IF(Registro!A232="","",Registro!D232)</f>
        <v/>
      </c>
      <c r="G232" s="5" t="str">
        <f aca="false">IF(Registro!A232="","",Registro!T232)</f>
        <v/>
      </c>
      <c r="H232" s="5" t="str">
        <f aca="false">IF(Registro!A232="","",IF(Registro!D232="Realizada",Registro!L232,0))</f>
        <v/>
      </c>
      <c r="I232" s="11" t="str">
        <f aca="false">IF(OR(Registro!A232="",N(G232)=0),"",H232/G232)</f>
        <v/>
      </c>
    </row>
    <row r="233" customFormat="false" ht="15" hidden="false" customHeight="false" outlineLevel="0" collapsed="false">
      <c r="A233" s="5" t="str">
        <f aca="false">IF(Registro!A233="","",Registro!A233)</f>
        <v/>
      </c>
      <c r="B233" s="5" t="str">
        <f aca="false">IF(Registro!A233="","",Registro!B233)</f>
        <v/>
      </c>
      <c r="C233" s="5" t="str">
        <f aca="false">IF(Registro!A233="","",Registro!C233)</f>
        <v/>
      </c>
      <c r="D233" s="5" t="str">
        <f aca="false">IF(Registro!A233="","",Registro!E233)</f>
        <v/>
      </c>
      <c r="E233" s="5" t="str">
        <f aca="false">IF(Registro!A233="","",Registro!G233)</f>
        <v/>
      </c>
      <c r="F233" s="5" t="str">
        <f aca="false">IF(Registro!A233="","",Registro!D233)</f>
        <v/>
      </c>
      <c r="G233" s="5" t="str">
        <f aca="false">IF(Registro!A233="","",Registro!T233)</f>
        <v/>
      </c>
      <c r="H233" s="5" t="str">
        <f aca="false">IF(Registro!A233="","",IF(Registro!D233="Realizada",Registro!L233,0))</f>
        <v/>
      </c>
      <c r="I233" s="11" t="str">
        <f aca="false">IF(OR(Registro!A233="",N(G233)=0),"",H233/G233)</f>
        <v/>
      </c>
    </row>
    <row r="234" customFormat="false" ht="15" hidden="false" customHeight="false" outlineLevel="0" collapsed="false">
      <c r="A234" s="5" t="str">
        <f aca="false">IF(Registro!A234="","",Registro!A234)</f>
        <v/>
      </c>
      <c r="B234" s="5" t="str">
        <f aca="false">IF(Registro!A234="","",Registro!B234)</f>
        <v/>
      </c>
      <c r="C234" s="5" t="str">
        <f aca="false">IF(Registro!A234="","",Registro!C234)</f>
        <v/>
      </c>
      <c r="D234" s="5" t="str">
        <f aca="false">IF(Registro!A234="","",Registro!E234)</f>
        <v/>
      </c>
      <c r="E234" s="5" t="str">
        <f aca="false">IF(Registro!A234="","",Registro!G234)</f>
        <v/>
      </c>
      <c r="F234" s="5" t="str">
        <f aca="false">IF(Registro!A234="","",Registro!D234)</f>
        <v/>
      </c>
      <c r="G234" s="5" t="str">
        <f aca="false">IF(Registro!A234="","",Registro!T234)</f>
        <v/>
      </c>
      <c r="H234" s="5" t="str">
        <f aca="false">IF(Registro!A234="","",IF(Registro!D234="Realizada",Registro!L234,0))</f>
        <v/>
      </c>
      <c r="I234" s="11" t="str">
        <f aca="false">IF(OR(Registro!A234="",N(G234)=0),"",H234/G234)</f>
        <v/>
      </c>
    </row>
    <row r="235" customFormat="false" ht="15" hidden="false" customHeight="false" outlineLevel="0" collapsed="false">
      <c r="A235" s="5" t="str">
        <f aca="false">IF(Registro!A235="","",Registro!A235)</f>
        <v/>
      </c>
      <c r="B235" s="5" t="str">
        <f aca="false">IF(Registro!A235="","",Registro!B235)</f>
        <v/>
      </c>
      <c r="C235" s="5" t="str">
        <f aca="false">IF(Registro!A235="","",Registro!C235)</f>
        <v/>
      </c>
      <c r="D235" s="5" t="str">
        <f aca="false">IF(Registro!A235="","",Registro!E235)</f>
        <v/>
      </c>
      <c r="E235" s="5" t="str">
        <f aca="false">IF(Registro!A235="","",Registro!G235)</f>
        <v/>
      </c>
      <c r="F235" s="5" t="str">
        <f aca="false">IF(Registro!A235="","",Registro!D235)</f>
        <v/>
      </c>
      <c r="G235" s="5" t="str">
        <f aca="false">IF(Registro!A235="","",Registro!T235)</f>
        <v/>
      </c>
      <c r="H235" s="5" t="str">
        <f aca="false">IF(Registro!A235="","",IF(Registro!D235="Realizada",Registro!L235,0))</f>
        <v/>
      </c>
      <c r="I235" s="11" t="str">
        <f aca="false">IF(OR(Registro!A235="",N(G235)=0),"",H235/G235)</f>
        <v/>
      </c>
    </row>
    <row r="236" customFormat="false" ht="15" hidden="false" customHeight="false" outlineLevel="0" collapsed="false">
      <c r="A236" s="5" t="str">
        <f aca="false">IF(Registro!A236="","",Registro!A236)</f>
        <v/>
      </c>
      <c r="B236" s="5" t="str">
        <f aca="false">IF(Registro!A236="","",Registro!B236)</f>
        <v/>
      </c>
      <c r="C236" s="5" t="str">
        <f aca="false">IF(Registro!A236="","",Registro!C236)</f>
        <v/>
      </c>
      <c r="D236" s="5" t="str">
        <f aca="false">IF(Registro!A236="","",Registro!E236)</f>
        <v/>
      </c>
      <c r="E236" s="5" t="str">
        <f aca="false">IF(Registro!A236="","",Registro!G236)</f>
        <v/>
      </c>
      <c r="F236" s="5" t="str">
        <f aca="false">IF(Registro!A236="","",Registro!D236)</f>
        <v/>
      </c>
      <c r="G236" s="5" t="str">
        <f aca="false">IF(Registro!A236="","",Registro!T236)</f>
        <v/>
      </c>
      <c r="H236" s="5" t="str">
        <f aca="false">IF(Registro!A236="","",IF(Registro!D236="Realizada",Registro!L236,0))</f>
        <v/>
      </c>
      <c r="I236" s="11" t="str">
        <f aca="false">IF(OR(Registro!A236="",N(G236)=0),"",H236/G236)</f>
        <v/>
      </c>
    </row>
    <row r="237" customFormat="false" ht="15" hidden="false" customHeight="false" outlineLevel="0" collapsed="false">
      <c r="A237" s="5" t="str">
        <f aca="false">IF(Registro!A237="","",Registro!A237)</f>
        <v/>
      </c>
      <c r="B237" s="5" t="str">
        <f aca="false">IF(Registro!A237="","",Registro!B237)</f>
        <v/>
      </c>
      <c r="C237" s="5" t="str">
        <f aca="false">IF(Registro!A237="","",Registro!C237)</f>
        <v/>
      </c>
      <c r="D237" s="5" t="str">
        <f aca="false">IF(Registro!A237="","",Registro!E237)</f>
        <v/>
      </c>
      <c r="E237" s="5" t="str">
        <f aca="false">IF(Registro!A237="","",Registro!G237)</f>
        <v/>
      </c>
      <c r="F237" s="5" t="str">
        <f aca="false">IF(Registro!A237="","",Registro!D237)</f>
        <v/>
      </c>
      <c r="G237" s="5" t="str">
        <f aca="false">IF(Registro!A237="","",Registro!T237)</f>
        <v/>
      </c>
      <c r="H237" s="5" t="str">
        <f aca="false">IF(Registro!A237="","",IF(Registro!D237="Realizada",Registro!L237,0))</f>
        <v/>
      </c>
      <c r="I237" s="11" t="str">
        <f aca="false">IF(OR(Registro!A237="",N(G237)=0),"",H237/G237)</f>
        <v/>
      </c>
    </row>
    <row r="238" customFormat="false" ht="15" hidden="false" customHeight="false" outlineLevel="0" collapsed="false">
      <c r="A238" s="5" t="str">
        <f aca="false">IF(Registro!A238="","",Registro!A238)</f>
        <v/>
      </c>
      <c r="B238" s="5" t="str">
        <f aca="false">IF(Registro!A238="","",Registro!B238)</f>
        <v/>
      </c>
      <c r="C238" s="5" t="str">
        <f aca="false">IF(Registro!A238="","",Registro!C238)</f>
        <v/>
      </c>
      <c r="D238" s="5" t="str">
        <f aca="false">IF(Registro!A238="","",Registro!E238)</f>
        <v/>
      </c>
      <c r="E238" s="5" t="str">
        <f aca="false">IF(Registro!A238="","",Registro!G238)</f>
        <v/>
      </c>
      <c r="F238" s="5" t="str">
        <f aca="false">IF(Registro!A238="","",Registro!D238)</f>
        <v/>
      </c>
      <c r="G238" s="5" t="str">
        <f aca="false">IF(Registro!A238="","",Registro!T238)</f>
        <v/>
      </c>
      <c r="H238" s="5" t="str">
        <f aca="false">IF(Registro!A238="","",IF(Registro!D238="Realizada",Registro!L238,0))</f>
        <v/>
      </c>
      <c r="I238" s="11" t="str">
        <f aca="false">IF(OR(Registro!A238="",N(G238)=0),"",H238/G238)</f>
        <v/>
      </c>
    </row>
    <row r="239" customFormat="false" ht="15" hidden="false" customHeight="false" outlineLevel="0" collapsed="false">
      <c r="A239" s="5" t="str">
        <f aca="false">IF(Registro!A239="","",Registro!A239)</f>
        <v/>
      </c>
      <c r="B239" s="5" t="str">
        <f aca="false">IF(Registro!A239="","",Registro!B239)</f>
        <v/>
      </c>
      <c r="C239" s="5" t="str">
        <f aca="false">IF(Registro!A239="","",Registro!C239)</f>
        <v/>
      </c>
      <c r="D239" s="5" t="str">
        <f aca="false">IF(Registro!A239="","",Registro!E239)</f>
        <v/>
      </c>
      <c r="E239" s="5" t="str">
        <f aca="false">IF(Registro!A239="","",Registro!G239)</f>
        <v/>
      </c>
      <c r="F239" s="5" t="str">
        <f aca="false">IF(Registro!A239="","",Registro!D239)</f>
        <v/>
      </c>
      <c r="G239" s="5" t="str">
        <f aca="false">IF(Registro!A239="","",Registro!T239)</f>
        <v/>
      </c>
      <c r="H239" s="5" t="str">
        <f aca="false">IF(Registro!A239="","",IF(Registro!D239="Realizada",Registro!L239,0))</f>
        <v/>
      </c>
      <c r="I239" s="11" t="str">
        <f aca="false">IF(OR(Registro!A239="",N(G239)=0),"",H239/G239)</f>
        <v/>
      </c>
    </row>
    <row r="240" customFormat="false" ht="15" hidden="false" customHeight="false" outlineLevel="0" collapsed="false">
      <c r="A240" s="5" t="str">
        <f aca="false">IF(Registro!A240="","",Registro!A240)</f>
        <v/>
      </c>
      <c r="B240" s="5" t="str">
        <f aca="false">IF(Registro!A240="","",Registro!B240)</f>
        <v/>
      </c>
      <c r="C240" s="5" t="str">
        <f aca="false">IF(Registro!A240="","",Registro!C240)</f>
        <v/>
      </c>
      <c r="D240" s="5" t="str">
        <f aca="false">IF(Registro!A240="","",Registro!E240)</f>
        <v/>
      </c>
      <c r="E240" s="5" t="str">
        <f aca="false">IF(Registro!A240="","",Registro!G240)</f>
        <v/>
      </c>
      <c r="F240" s="5" t="str">
        <f aca="false">IF(Registro!A240="","",Registro!D240)</f>
        <v/>
      </c>
      <c r="G240" s="5" t="str">
        <f aca="false">IF(Registro!A240="","",Registro!T240)</f>
        <v/>
      </c>
      <c r="H240" s="5" t="str">
        <f aca="false">IF(Registro!A240="","",IF(Registro!D240="Realizada",Registro!L240,0))</f>
        <v/>
      </c>
      <c r="I240" s="11" t="str">
        <f aca="false">IF(OR(Registro!A240="",N(G240)=0),"",H240/G240)</f>
        <v/>
      </c>
    </row>
    <row r="241" customFormat="false" ht="15" hidden="false" customHeight="false" outlineLevel="0" collapsed="false">
      <c r="A241" s="5" t="str">
        <f aca="false">IF(Registro!A241="","",Registro!A241)</f>
        <v/>
      </c>
      <c r="B241" s="5" t="str">
        <f aca="false">IF(Registro!A241="","",Registro!B241)</f>
        <v/>
      </c>
      <c r="C241" s="5" t="str">
        <f aca="false">IF(Registro!A241="","",Registro!C241)</f>
        <v/>
      </c>
      <c r="D241" s="5" t="str">
        <f aca="false">IF(Registro!A241="","",Registro!E241)</f>
        <v/>
      </c>
      <c r="E241" s="5" t="str">
        <f aca="false">IF(Registro!A241="","",Registro!G241)</f>
        <v/>
      </c>
      <c r="F241" s="5" t="str">
        <f aca="false">IF(Registro!A241="","",Registro!D241)</f>
        <v/>
      </c>
      <c r="G241" s="5" t="str">
        <f aca="false">IF(Registro!A241="","",Registro!T241)</f>
        <v/>
      </c>
      <c r="H241" s="5" t="str">
        <f aca="false">IF(Registro!A241="","",IF(Registro!D241="Realizada",Registro!L241,0))</f>
        <v/>
      </c>
      <c r="I241" s="11" t="str">
        <f aca="false">IF(OR(Registro!A241="",N(G241)=0),"",H241/G241)</f>
        <v/>
      </c>
    </row>
    <row r="242" customFormat="false" ht="15" hidden="false" customHeight="false" outlineLevel="0" collapsed="false">
      <c r="A242" s="5" t="str">
        <f aca="false">IF(Registro!A242="","",Registro!A242)</f>
        <v/>
      </c>
      <c r="B242" s="5" t="str">
        <f aca="false">IF(Registro!A242="","",Registro!B242)</f>
        <v/>
      </c>
      <c r="C242" s="5" t="str">
        <f aca="false">IF(Registro!A242="","",Registro!C242)</f>
        <v/>
      </c>
      <c r="D242" s="5" t="str">
        <f aca="false">IF(Registro!A242="","",Registro!E242)</f>
        <v/>
      </c>
      <c r="E242" s="5" t="str">
        <f aca="false">IF(Registro!A242="","",Registro!G242)</f>
        <v/>
      </c>
      <c r="F242" s="5" t="str">
        <f aca="false">IF(Registro!A242="","",Registro!D242)</f>
        <v/>
      </c>
      <c r="G242" s="5" t="str">
        <f aca="false">IF(Registro!A242="","",Registro!T242)</f>
        <v/>
      </c>
      <c r="H242" s="5" t="str">
        <f aca="false">IF(Registro!A242="","",IF(Registro!D242="Realizada",Registro!L242,0))</f>
        <v/>
      </c>
      <c r="I242" s="11" t="str">
        <f aca="false">IF(OR(Registro!A242="",N(G242)=0),"",H242/G242)</f>
        <v/>
      </c>
    </row>
    <row r="243" customFormat="false" ht="15" hidden="false" customHeight="false" outlineLevel="0" collapsed="false">
      <c r="A243" s="5" t="str">
        <f aca="false">IF(Registro!A243="","",Registro!A243)</f>
        <v/>
      </c>
      <c r="B243" s="5" t="str">
        <f aca="false">IF(Registro!A243="","",Registro!B243)</f>
        <v/>
      </c>
      <c r="C243" s="5" t="str">
        <f aca="false">IF(Registro!A243="","",Registro!C243)</f>
        <v/>
      </c>
      <c r="D243" s="5" t="str">
        <f aca="false">IF(Registro!A243="","",Registro!E243)</f>
        <v/>
      </c>
      <c r="E243" s="5" t="str">
        <f aca="false">IF(Registro!A243="","",Registro!G243)</f>
        <v/>
      </c>
      <c r="F243" s="5" t="str">
        <f aca="false">IF(Registro!A243="","",Registro!D243)</f>
        <v/>
      </c>
      <c r="G243" s="5" t="str">
        <f aca="false">IF(Registro!A243="","",Registro!T243)</f>
        <v/>
      </c>
      <c r="H243" s="5" t="str">
        <f aca="false">IF(Registro!A243="","",IF(Registro!D243="Realizada",Registro!L243,0))</f>
        <v/>
      </c>
      <c r="I243" s="11" t="str">
        <f aca="false">IF(OR(Registro!A243="",N(G243)=0),"",H243/G243)</f>
        <v/>
      </c>
    </row>
    <row r="244" customFormat="false" ht="15" hidden="false" customHeight="false" outlineLevel="0" collapsed="false">
      <c r="A244" s="5" t="str">
        <f aca="false">IF(Registro!A244="","",Registro!A244)</f>
        <v/>
      </c>
      <c r="B244" s="5" t="str">
        <f aca="false">IF(Registro!A244="","",Registro!B244)</f>
        <v/>
      </c>
      <c r="C244" s="5" t="str">
        <f aca="false">IF(Registro!A244="","",Registro!C244)</f>
        <v/>
      </c>
      <c r="D244" s="5" t="str">
        <f aca="false">IF(Registro!A244="","",Registro!E244)</f>
        <v/>
      </c>
      <c r="E244" s="5" t="str">
        <f aca="false">IF(Registro!A244="","",Registro!G244)</f>
        <v/>
      </c>
      <c r="F244" s="5" t="str">
        <f aca="false">IF(Registro!A244="","",Registro!D244)</f>
        <v/>
      </c>
      <c r="G244" s="5" t="str">
        <f aca="false">IF(Registro!A244="","",Registro!T244)</f>
        <v/>
      </c>
      <c r="H244" s="5" t="str">
        <f aca="false">IF(Registro!A244="","",IF(Registro!D244="Realizada",Registro!L244,0))</f>
        <v/>
      </c>
      <c r="I244" s="11" t="str">
        <f aca="false">IF(OR(Registro!A244="",N(G244)=0),"",H244/G244)</f>
        <v/>
      </c>
    </row>
    <row r="245" customFormat="false" ht="15" hidden="false" customHeight="false" outlineLevel="0" collapsed="false">
      <c r="A245" s="5" t="str">
        <f aca="false">IF(Registro!A245="","",Registro!A245)</f>
        <v/>
      </c>
      <c r="B245" s="5" t="str">
        <f aca="false">IF(Registro!A245="","",Registro!B245)</f>
        <v/>
      </c>
      <c r="C245" s="5" t="str">
        <f aca="false">IF(Registro!A245="","",Registro!C245)</f>
        <v/>
      </c>
      <c r="D245" s="5" t="str">
        <f aca="false">IF(Registro!A245="","",Registro!E245)</f>
        <v/>
      </c>
      <c r="E245" s="5" t="str">
        <f aca="false">IF(Registro!A245="","",Registro!G245)</f>
        <v/>
      </c>
      <c r="F245" s="5" t="str">
        <f aca="false">IF(Registro!A245="","",Registro!D245)</f>
        <v/>
      </c>
      <c r="G245" s="5" t="str">
        <f aca="false">IF(Registro!A245="","",Registro!T245)</f>
        <v/>
      </c>
      <c r="H245" s="5" t="str">
        <f aca="false">IF(Registro!A245="","",IF(Registro!D245="Realizada",Registro!L245,0))</f>
        <v/>
      </c>
      <c r="I245" s="11" t="str">
        <f aca="false">IF(OR(Registro!A245="",N(G245)=0),"",H245/G245)</f>
        <v/>
      </c>
    </row>
    <row r="246" customFormat="false" ht="15" hidden="false" customHeight="false" outlineLevel="0" collapsed="false">
      <c r="A246" s="5" t="str">
        <f aca="false">IF(Registro!A246="","",Registro!A246)</f>
        <v/>
      </c>
      <c r="B246" s="5" t="str">
        <f aca="false">IF(Registro!A246="","",Registro!B246)</f>
        <v/>
      </c>
      <c r="C246" s="5" t="str">
        <f aca="false">IF(Registro!A246="","",Registro!C246)</f>
        <v/>
      </c>
      <c r="D246" s="5" t="str">
        <f aca="false">IF(Registro!A246="","",Registro!E246)</f>
        <v/>
      </c>
      <c r="E246" s="5" t="str">
        <f aca="false">IF(Registro!A246="","",Registro!G246)</f>
        <v/>
      </c>
      <c r="F246" s="5" t="str">
        <f aca="false">IF(Registro!A246="","",Registro!D246)</f>
        <v/>
      </c>
      <c r="G246" s="5" t="str">
        <f aca="false">IF(Registro!A246="","",Registro!T246)</f>
        <v/>
      </c>
      <c r="H246" s="5" t="str">
        <f aca="false">IF(Registro!A246="","",IF(Registro!D246="Realizada",Registro!L246,0))</f>
        <v/>
      </c>
      <c r="I246" s="11" t="str">
        <f aca="false">IF(OR(Registro!A246="",N(G246)=0),"",H246/G246)</f>
        <v/>
      </c>
    </row>
    <row r="247" customFormat="false" ht="15" hidden="false" customHeight="false" outlineLevel="0" collapsed="false">
      <c r="A247" s="5" t="str">
        <f aca="false">IF(Registro!A247="","",Registro!A247)</f>
        <v/>
      </c>
      <c r="B247" s="5" t="str">
        <f aca="false">IF(Registro!A247="","",Registro!B247)</f>
        <v/>
      </c>
      <c r="C247" s="5" t="str">
        <f aca="false">IF(Registro!A247="","",Registro!C247)</f>
        <v/>
      </c>
      <c r="D247" s="5" t="str">
        <f aca="false">IF(Registro!A247="","",Registro!E247)</f>
        <v/>
      </c>
      <c r="E247" s="5" t="str">
        <f aca="false">IF(Registro!A247="","",Registro!G247)</f>
        <v/>
      </c>
      <c r="F247" s="5" t="str">
        <f aca="false">IF(Registro!A247="","",Registro!D247)</f>
        <v/>
      </c>
      <c r="G247" s="5" t="str">
        <f aca="false">IF(Registro!A247="","",Registro!T247)</f>
        <v/>
      </c>
      <c r="H247" s="5" t="str">
        <f aca="false">IF(Registro!A247="","",IF(Registro!D247="Realizada",Registro!L247,0))</f>
        <v/>
      </c>
      <c r="I247" s="11" t="str">
        <f aca="false">IF(OR(Registro!A247="",N(G247)=0),"",H247/G247)</f>
        <v/>
      </c>
    </row>
    <row r="248" customFormat="false" ht="15" hidden="false" customHeight="false" outlineLevel="0" collapsed="false">
      <c r="A248" s="5" t="str">
        <f aca="false">IF(Registro!A248="","",Registro!A248)</f>
        <v/>
      </c>
      <c r="B248" s="5" t="str">
        <f aca="false">IF(Registro!A248="","",Registro!B248)</f>
        <v/>
      </c>
      <c r="C248" s="5" t="str">
        <f aca="false">IF(Registro!A248="","",Registro!C248)</f>
        <v/>
      </c>
      <c r="D248" s="5" t="str">
        <f aca="false">IF(Registro!A248="","",Registro!E248)</f>
        <v/>
      </c>
      <c r="E248" s="5" t="str">
        <f aca="false">IF(Registro!A248="","",Registro!G248)</f>
        <v/>
      </c>
      <c r="F248" s="5" t="str">
        <f aca="false">IF(Registro!A248="","",Registro!D248)</f>
        <v/>
      </c>
      <c r="G248" s="5" t="str">
        <f aca="false">IF(Registro!A248="","",Registro!T248)</f>
        <v/>
      </c>
      <c r="H248" s="5" t="str">
        <f aca="false">IF(Registro!A248="","",IF(Registro!D248="Realizada",Registro!L248,0))</f>
        <v/>
      </c>
      <c r="I248" s="11" t="str">
        <f aca="false">IF(OR(Registro!A248="",N(G248)=0),"",H248/G248)</f>
        <v/>
      </c>
    </row>
    <row r="249" customFormat="false" ht="15" hidden="false" customHeight="false" outlineLevel="0" collapsed="false">
      <c r="A249" s="5" t="str">
        <f aca="false">IF(Registro!A249="","",Registro!A249)</f>
        <v/>
      </c>
      <c r="B249" s="5" t="str">
        <f aca="false">IF(Registro!A249="","",Registro!B249)</f>
        <v/>
      </c>
      <c r="C249" s="5" t="str">
        <f aca="false">IF(Registro!A249="","",Registro!C249)</f>
        <v/>
      </c>
      <c r="D249" s="5" t="str">
        <f aca="false">IF(Registro!A249="","",Registro!E249)</f>
        <v/>
      </c>
      <c r="E249" s="5" t="str">
        <f aca="false">IF(Registro!A249="","",Registro!G249)</f>
        <v/>
      </c>
      <c r="F249" s="5" t="str">
        <f aca="false">IF(Registro!A249="","",Registro!D249)</f>
        <v/>
      </c>
      <c r="G249" s="5" t="str">
        <f aca="false">IF(Registro!A249="","",Registro!T249)</f>
        <v/>
      </c>
      <c r="H249" s="5" t="str">
        <f aca="false">IF(Registro!A249="","",IF(Registro!D249="Realizada",Registro!L249,0))</f>
        <v/>
      </c>
      <c r="I249" s="11" t="str">
        <f aca="false">IF(OR(Registro!A249="",N(G249)=0),"",H249/G249)</f>
        <v/>
      </c>
    </row>
    <row r="250" customFormat="false" ht="15" hidden="false" customHeight="false" outlineLevel="0" collapsed="false">
      <c r="A250" s="5" t="str">
        <f aca="false">IF(Registro!A250="","",Registro!A250)</f>
        <v/>
      </c>
      <c r="B250" s="5" t="str">
        <f aca="false">IF(Registro!A250="","",Registro!B250)</f>
        <v/>
      </c>
      <c r="C250" s="5" t="str">
        <f aca="false">IF(Registro!A250="","",Registro!C250)</f>
        <v/>
      </c>
      <c r="D250" s="5" t="str">
        <f aca="false">IF(Registro!A250="","",Registro!E250)</f>
        <v/>
      </c>
      <c r="E250" s="5" t="str">
        <f aca="false">IF(Registro!A250="","",Registro!G250)</f>
        <v/>
      </c>
      <c r="F250" s="5" t="str">
        <f aca="false">IF(Registro!A250="","",Registro!D250)</f>
        <v/>
      </c>
      <c r="G250" s="5" t="str">
        <f aca="false">IF(Registro!A250="","",Registro!T250)</f>
        <v/>
      </c>
      <c r="H250" s="5" t="str">
        <f aca="false">IF(Registro!A250="","",IF(Registro!D250="Realizada",Registro!L250,0))</f>
        <v/>
      </c>
      <c r="I250" s="11" t="str">
        <f aca="false">IF(OR(Registro!A250="",N(G250)=0),"",H250/G250)</f>
        <v/>
      </c>
    </row>
    <row r="251" customFormat="false" ht="15" hidden="false" customHeight="false" outlineLevel="0" collapsed="false">
      <c r="A251" s="5" t="str">
        <f aca="false">IF(Registro!A251="","",Registro!A251)</f>
        <v/>
      </c>
      <c r="B251" s="5" t="str">
        <f aca="false">IF(Registro!A251="","",Registro!B251)</f>
        <v/>
      </c>
      <c r="C251" s="5" t="str">
        <f aca="false">IF(Registro!A251="","",Registro!C251)</f>
        <v/>
      </c>
      <c r="D251" s="5" t="str">
        <f aca="false">IF(Registro!A251="","",Registro!E251)</f>
        <v/>
      </c>
      <c r="E251" s="5" t="str">
        <f aca="false">IF(Registro!A251="","",Registro!G251)</f>
        <v/>
      </c>
      <c r="F251" s="5" t="str">
        <f aca="false">IF(Registro!A251="","",Registro!D251)</f>
        <v/>
      </c>
      <c r="G251" s="5" t="str">
        <f aca="false">IF(Registro!A251="","",Registro!T251)</f>
        <v/>
      </c>
      <c r="H251" s="5" t="str">
        <f aca="false">IF(Registro!A251="","",IF(Registro!D251="Realizada",Registro!L251,0))</f>
        <v/>
      </c>
      <c r="I251" s="11" t="str">
        <f aca="false">IF(OR(Registro!A251="",N(G251)=0),"",H251/G251)</f>
        <v/>
      </c>
    </row>
    <row r="252" customFormat="false" ht="15" hidden="false" customHeight="false" outlineLevel="0" collapsed="false">
      <c r="A252" s="5" t="str">
        <f aca="false">IF(Registro!A252="","",Registro!A252)</f>
        <v/>
      </c>
      <c r="B252" s="5" t="str">
        <f aca="false">IF(Registro!A252="","",Registro!B252)</f>
        <v/>
      </c>
      <c r="C252" s="5" t="str">
        <f aca="false">IF(Registro!A252="","",Registro!C252)</f>
        <v/>
      </c>
      <c r="D252" s="5" t="str">
        <f aca="false">IF(Registro!A252="","",Registro!E252)</f>
        <v/>
      </c>
      <c r="E252" s="5" t="str">
        <f aca="false">IF(Registro!A252="","",Registro!G252)</f>
        <v/>
      </c>
      <c r="F252" s="5" t="str">
        <f aca="false">IF(Registro!A252="","",Registro!D252)</f>
        <v/>
      </c>
      <c r="G252" s="5" t="str">
        <f aca="false">IF(Registro!A252="","",Registro!T252)</f>
        <v/>
      </c>
      <c r="H252" s="5" t="str">
        <f aca="false">IF(Registro!A252="","",IF(Registro!D252="Realizada",Registro!L252,0))</f>
        <v/>
      </c>
      <c r="I252" s="11" t="str">
        <f aca="false">IF(OR(Registro!A252="",N(G252)=0),"",H252/G252)</f>
        <v/>
      </c>
    </row>
    <row r="253" customFormat="false" ht="15" hidden="false" customHeight="false" outlineLevel="0" collapsed="false">
      <c r="A253" s="5" t="str">
        <f aca="false">IF(Registro!A253="","",Registro!A253)</f>
        <v/>
      </c>
      <c r="B253" s="5" t="str">
        <f aca="false">IF(Registro!A253="","",Registro!B253)</f>
        <v/>
      </c>
      <c r="C253" s="5" t="str">
        <f aca="false">IF(Registro!A253="","",Registro!C253)</f>
        <v/>
      </c>
      <c r="D253" s="5" t="str">
        <f aca="false">IF(Registro!A253="","",Registro!E253)</f>
        <v/>
      </c>
      <c r="E253" s="5" t="str">
        <f aca="false">IF(Registro!A253="","",Registro!G253)</f>
        <v/>
      </c>
      <c r="F253" s="5" t="str">
        <f aca="false">IF(Registro!A253="","",Registro!D253)</f>
        <v/>
      </c>
      <c r="G253" s="5" t="str">
        <f aca="false">IF(Registro!A253="","",Registro!T253)</f>
        <v/>
      </c>
      <c r="H253" s="5" t="str">
        <f aca="false">IF(Registro!A253="","",IF(Registro!D253="Realizada",Registro!L253,0))</f>
        <v/>
      </c>
      <c r="I253" s="11" t="str">
        <f aca="false">IF(OR(Registro!A253="",N(G253)=0),"",H253/G253)</f>
        <v/>
      </c>
    </row>
    <row r="254" customFormat="false" ht="15" hidden="false" customHeight="false" outlineLevel="0" collapsed="false">
      <c r="A254" s="5" t="str">
        <f aca="false">IF(Registro!A254="","",Registro!A254)</f>
        <v/>
      </c>
      <c r="B254" s="5" t="str">
        <f aca="false">IF(Registro!A254="","",Registro!B254)</f>
        <v/>
      </c>
      <c r="C254" s="5" t="str">
        <f aca="false">IF(Registro!A254="","",Registro!C254)</f>
        <v/>
      </c>
      <c r="D254" s="5" t="str">
        <f aca="false">IF(Registro!A254="","",Registro!E254)</f>
        <v/>
      </c>
      <c r="E254" s="5" t="str">
        <f aca="false">IF(Registro!A254="","",Registro!G254)</f>
        <v/>
      </c>
      <c r="F254" s="5" t="str">
        <f aca="false">IF(Registro!A254="","",Registro!D254)</f>
        <v/>
      </c>
      <c r="G254" s="5" t="str">
        <f aca="false">IF(Registro!A254="","",Registro!T254)</f>
        <v/>
      </c>
      <c r="H254" s="5" t="str">
        <f aca="false">IF(Registro!A254="","",IF(Registro!D254="Realizada",Registro!L254,0))</f>
        <v/>
      </c>
      <c r="I254" s="11" t="str">
        <f aca="false">IF(OR(Registro!A254="",N(G254)=0),"",H254/G254)</f>
        <v/>
      </c>
    </row>
    <row r="255" customFormat="false" ht="15" hidden="false" customHeight="false" outlineLevel="0" collapsed="false">
      <c r="A255" s="5" t="str">
        <f aca="false">IF(Registro!A255="","",Registro!A255)</f>
        <v/>
      </c>
      <c r="B255" s="5" t="str">
        <f aca="false">IF(Registro!A255="","",Registro!B255)</f>
        <v/>
      </c>
      <c r="C255" s="5" t="str">
        <f aca="false">IF(Registro!A255="","",Registro!C255)</f>
        <v/>
      </c>
      <c r="D255" s="5" t="str">
        <f aca="false">IF(Registro!A255="","",Registro!E255)</f>
        <v/>
      </c>
      <c r="E255" s="5" t="str">
        <f aca="false">IF(Registro!A255="","",Registro!G255)</f>
        <v/>
      </c>
      <c r="F255" s="5" t="str">
        <f aca="false">IF(Registro!A255="","",Registro!D255)</f>
        <v/>
      </c>
      <c r="G255" s="5" t="str">
        <f aca="false">IF(Registro!A255="","",Registro!T255)</f>
        <v/>
      </c>
      <c r="H255" s="5" t="str">
        <f aca="false">IF(Registro!A255="","",IF(Registro!D255="Realizada",Registro!L255,0))</f>
        <v/>
      </c>
      <c r="I255" s="11" t="str">
        <f aca="false">IF(OR(Registro!A255="",N(G255)=0),"",H255/G255)</f>
        <v/>
      </c>
    </row>
    <row r="256" customFormat="false" ht="15" hidden="false" customHeight="false" outlineLevel="0" collapsed="false">
      <c r="A256" s="5" t="str">
        <f aca="false">IF(Registro!A256="","",Registro!A256)</f>
        <v/>
      </c>
      <c r="B256" s="5" t="str">
        <f aca="false">IF(Registro!A256="","",Registro!B256)</f>
        <v/>
      </c>
      <c r="C256" s="5" t="str">
        <f aca="false">IF(Registro!A256="","",Registro!C256)</f>
        <v/>
      </c>
      <c r="D256" s="5" t="str">
        <f aca="false">IF(Registro!A256="","",Registro!E256)</f>
        <v/>
      </c>
      <c r="E256" s="5" t="str">
        <f aca="false">IF(Registro!A256="","",Registro!G256)</f>
        <v/>
      </c>
      <c r="F256" s="5" t="str">
        <f aca="false">IF(Registro!A256="","",Registro!D256)</f>
        <v/>
      </c>
      <c r="G256" s="5" t="str">
        <f aca="false">IF(Registro!A256="","",Registro!T256)</f>
        <v/>
      </c>
      <c r="H256" s="5" t="str">
        <f aca="false">IF(Registro!A256="","",IF(Registro!D256="Realizada",Registro!L256,0))</f>
        <v/>
      </c>
      <c r="I256" s="11" t="str">
        <f aca="false">IF(OR(Registro!A256="",N(G256)=0),"",H256/G256)</f>
        <v/>
      </c>
    </row>
    <row r="257" customFormat="false" ht="15" hidden="false" customHeight="false" outlineLevel="0" collapsed="false">
      <c r="A257" s="5" t="str">
        <f aca="false">IF(Registro!A257="","",Registro!A257)</f>
        <v/>
      </c>
      <c r="B257" s="5" t="str">
        <f aca="false">IF(Registro!A257="","",Registro!B257)</f>
        <v/>
      </c>
      <c r="C257" s="5" t="str">
        <f aca="false">IF(Registro!A257="","",Registro!C257)</f>
        <v/>
      </c>
      <c r="D257" s="5" t="str">
        <f aca="false">IF(Registro!A257="","",Registro!E257)</f>
        <v/>
      </c>
      <c r="E257" s="5" t="str">
        <f aca="false">IF(Registro!A257="","",Registro!G257)</f>
        <v/>
      </c>
      <c r="F257" s="5" t="str">
        <f aca="false">IF(Registro!A257="","",Registro!D257)</f>
        <v/>
      </c>
      <c r="G257" s="5" t="str">
        <f aca="false">IF(Registro!A257="","",Registro!T257)</f>
        <v/>
      </c>
      <c r="H257" s="5" t="str">
        <f aca="false">IF(Registro!A257="","",IF(Registro!D257="Realizada",Registro!L257,0))</f>
        <v/>
      </c>
      <c r="I257" s="11" t="str">
        <f aca="false">IF(OR(Registro!A257="",N(G257)=0),"",H257/G257)</f>
        <v/>
      </c>
    </row>
    <row r="258" customFormat="false" ht="15" hidden="false" customHeight="false" outlineLevel="0" collapsed="false">
      <c r="A258" s="5" t="str">
        <f aca="false">IF(Registro!A258="","",Registro!A258)</f>
        <v/>
      </c>
      <c r="B258" s="5" t="str">
        <f aca="false">IF(Registro!A258="","",Registro!B258)</f>
        <v/>
      </c>
      <c r="C258" s="5" t="str">
        <f aca="false">IF(Registro!A258="","",Registro!C258)</f>
        <v/>
      </c>
      <c r="D258" s="5" t="str">
        <f aca="false">IF(Registro!A258="","",Registro!E258)</f>
        <v/>
      </c>
      <c r="E258" s="5" t="str">
        <f aca="false">IF(Registro!A258="","",Registro!G258)</f>
        <v/>
      </c>
      <c r="F258" s="5" t="str">
        <f aca="false">IF(Registro!A258="","",Registro!D258)</f>
        <v/>
      </c>
      <c r="G258" s="5" t="str">
        <f aca="false">IF(Registro!A258="","",Registro!T258)</f>
        <v/>
      </c>
      <c r="H258" s="5" t="str">
        <f aca="false">IF(Registro!A258="","",IF(Registro!D258="Realizada",Registro!L258,0))</f>
        <v/>
      </c>
      <c r="I258" s="11" t="str">
        <f aca="false">IF(OR(Registro!A258="",N(G258)=0),"",H258/G258)</f>
        <v/>
      </c>
    </row>
    <row r="259" customFormat="false" ht="15" hidden="false" customHeight="false" outlineLevel="0" collapsed="false">
      <c r="A259" s="5" t="str">
        <f aca="false">IF(Registro!A259="","",Registro!A259)</f>
        <v/>
      </c>
      <c r="B259" s="5" t="str">
        <f aca="false">IF(Registro!A259="","",Registro!B259)</f>
        <v/>
      </c>
      <c r="C259" s="5" t="str">
        <f aca="false">IF(Registro!A259="","",Registro!C259)</f>
        <v/>
      </c>
      <c r="D259" s="5" t="str">
        <f aca="false">IF(Registro!A259="","",Registro!E259)</f>
        <v/>
      </c>
      <c r="E259" s="5" t="str">
        <f aca="false">IF(Registro!A259="","",Registro!G259)</f>
        <v/>
      </c>
      <c r="F259" s="5" t="str">
        <f aca="false">IF(Registro!A259="","",Registro!D259)</f>
        <v/>
      </c>
      <c r="G259" s="5" t="str">
        <f aca="false">IF(Registro!A259="","",Registro!T259)</f>
        <v/>
      </c>
      <c r="H259" s="5" t="str">
        <f aca="false">IF(Registro!A259="","",IF(Registro!D259="Realizada",Registro!L259,0))</f>
        <v/>
      </c>
      <c r="I259" s="11" t="str">
        <f aca="false">IF(OR(Registro!A259="",N(G259)=0),"",H259/G259)</f>
        <v/>
      </c>
    </row>
    <row r="260" customFormat="false" ht="15" hidden="false" customHeight="false" outlineLevel="0" collapsed="false">
      <c r="A260" s="5" t="str">
        <f aca="false">IF(Registro!A260="","",Registro!A260)</f>
        <v/>
      </c>
      <c r="B260" s="5" t="str">
        <f aca="false">IF(Registro!A260="","",Registro!B260)</f>
        <v/>
      </c>
      <c r="C260" s="5" t="str">
        <f aca="false">IF(Registro!A260="","",Registro!C260)</f>
        <v/>
      </c>
      <c r="D260" s="5" t="str">
        <f aca="false">IF(Registro!A260="","",Registro!E260)</f>
        <v/>
      </c>
      <c r="E260" s="5" t="str">
        <f aca="false">IF(Registro!A260="","",Registro!G260)</f>
        <v/>
      </c>
      <c r="F260" s="5" t="str">
        <f aca="false">IF(Registro!A260="","",Registro!D260)</f>
        <v/>
      </c>
      <c r="G260" s="5" t="str">
        <f aca="false">IF(Registro!A260="","",Registro!T260)</f>
        <v/>
      </c>
      <c r="H260" s="5" t="str">
        <f aca="false">IF(Registro!A260="","",IF(Registro!D260="Realizada",Registro!L260,0))</f>
        <v/>
      </c>
      <c r="I260" s="11" t="str">
        <f aca="false">IF(OR(Registro!A260="",N(G260)=0),"",H260/G260)</f>
        <v/>
      </c>
    </row>
    <row r="261" customFormat="false" ht="15" hidden="false" customHeight="false" outlineLevel="0" collapsed="false">
      <c r="A261" s="5" t="str">
        <f aca="false">IF(Registro!A261="","",Registro!A261)</f>
        <v/>
      </c>
      <c r="B261" s="5" t="str">
        <f aca="false">IF(Registro!A261="","",Registro!B261)</f>
        <v/>
      </c>
      <c r="C261" s="5" t="str">
        <f aca="false">IF(Registro!A261="","",Registro!C261)</f>
        <v/>
      </c>
      <c r="D261" s="5" t="str">
        <f aca="false">IF(Registro!A261="","",Registro!E261)</f>
        <v/>
      </c>
      <c r="E261" s="5" t="str">
        <f aca="false">IF(Registro!A261="","",Registro!G261)</f>
        <v/>
      </c>
      <c r="F261" s="5" t="str">
        <f aca="false">IF(Registro!A261="","",Registro!D261)</f>
        <v/>
      </c>
      <c r="G261" s="5" t="str">
        <f aca="false">IF(Registro!A261="","",Registro!T261)</f>
        <v/>
      </c>
      <c r="H261" s="5" t="str">
        <f aca="false">IF(Registro!A261="","",IF(Registro!D261="Realizada",Registro!L261,0))</f>
        <v/>
      </c>
      <c r="I261" s="11" t="str">
        <f aca="false">IF(OR(Registro!A261="",N(G261)=0),"",H261/G261)</f>
        <v/>
      </c>
    </row>
    <row r="262" customFormat="false" ht="15" hidden="false" customHeight="false" outlineLevel="0" collapsed="false">
      <c r="A262" s="5" t="str">
        <f aca="false">IF(Registro!A262="","",Registro!A262)</f>
        <v/>
      </c>
      <c r="B262" s="5" t="str">
        <f aca="false">IF(Registro!A262="","",Registro!B262)</f>
        <v/>
      </c>
      <c r="C262" s="5" t="str">
        <f aca="false">IF(Registro!A262="","",Registro!C262)</f>
        <v/>
      </c>
      <c r="D262" s="5" t="str">
        <f aca="false">IF(Registro!A262="","",Registro!E262)</f>
        <v/>
      </c>
      <c r="E262" s="5" t="str">
        <f aca="false">IF(Registro!A262="","",Registro!G262)</f>
        <v/>
      </c>
      <c r="F262" s="5" t="str">
        <f aca="false">IF(Registro!A262="","",Registro!D262)</f>
        <v/>
      </c>
      <c r="G262" s="5" t="str">
        <f aca="false">IF(Registro!A262="","",Registro!T262)</f>
        <v/>
      </c>
      <c r="H262" s="5" t="str">
        <f aca="false">IF(Registro!A262="","",IF(Registro!D262="Realizada",Registro!L262,0))</f>
        <v/>
      </c>
      <c r="I262" s="11" t="str">
        <f aca="false">IF(OR(Registro!A262="",N(G262)=0),"",H262/G262)</f>
        <v/>
      </c>
    </row>
    <row r="263" customFormat="false" ht="15" hidden="false" customHeight="false" outlineLevel="0" collapsed="false">
      <c r="A263" s="5" t="str">
        <f aca="false">IF(Registro!A263="","",Registro!A263)</f>
        <v/>
      </c>
      <c r="B263" s="5" t="str">
        <f aca="false">IF(Registro!A263="","",Registro!B263)</f>
        <v/>
      </c>
      <c r="C263" s="5" t="str">
        <f aca="false">IF(Registro!A263="","",Registro!C263)</f>
        <v/>
      </c>
      <c r="D263" s="5" t="str">
        <f aca="false">IF(Registro!A263="","",Registro!E263)</f>
        <v/>
      </c>
      <c r="E263" s="5" t="str">
        <f aca="false">IF(Registro!A263="","",Registro!G263)</f>
        <v/>
      </c>
      <c r="F263" s="5" t="str">
        <f aca="false">IF(Registro!A263="","",Registro!D263)</f>
        <v/>
      </c>
      <c r="G263" s="5" t="str">
        <f aca="false">IF(Registro!A263="","",Registro!T263)</f>
        <v/>
      </c>
      <c r="H263" s="5" t="str">
        <f aca="false">IF(Registro!A263="","",IF(Registro!D263="Realizada",Registro!L263,0))</f>
        <v/>
      </c>
      <c r="I263" s="11" t="str">
        <f aca="false">IF(OR(Registro!A263="",N(G263)=0),"",H263/G263)</f>
        <v/>
      </c>
    </row>
    <row r="264" customFormat="false" ht="15" hidden="false" customHeight="false" outlineLevel="0" collapsed="false">
      <c r="A264" s="5" t="str">
        <f aca="false">IF(Registro!A264="","",Registro!A264)</f>
        <v/>
      </c>
      <c r="B264" s="5" t="str">
        <f aca="false">IF(Registro!A264="","",Registro!B264)</f>
        <v/>
      </c>
      <c r="C264" s="5" t="str">
        <f aca="false">IF(Registro!A264="","",Registro!C264)</f>
        <v/>
      </c>
      <c r="D264" s="5" t="str">
        <f aca="false">IF(Registro!A264="","",Registro!E264)</f>
        <v/>
      </c>
      <c r="E264" s="5" t="str">
        <f aca="false">IF(Registro!A264="","",Registro!G264)</f>
        <v/>
      </c>
      <c r="F264" s="5" t="str">
        <f aca="false">IF(Registro!A264="","",Registro!D264)</f>
        <v/>
      </c>
      <c r="G264" s="5" t="str">
        <f aca="false">IF(Registro!A264="","",Registro!T264)</f>
        <v/>
      </c>
      <c r="H264" s="5" t="str">
        <f aca="false">IF(Registro!A264="","",IF(Registro!D264="Realizada",Registro!L264,0))</f>
        <v/>
      </c>
      <c r="I264" s="11" t="str">
        <f aca="false">IF(OR(Registro!A264="",N(G264)=0),"",H264/G264)</f>
        <v/>
      </c>
    </row>
    <row r="265" customFormat="false" ht="15" hidden="false" customHeight="false" outlineLevel="0" collapsed="false">
      <c r="A265" s="5" t="str">
        <f aca="false">IF(Registro!A265="","",Registro!A265)</f>
        <v/>
      </c>
      <c r="B265" s="5" t="str">
        <f aca="false">IF(Registro!A265="","",Registro!B265)</f>
        <v/>
      </c>
      <c r="C265" s="5" t="str">
        <f aca="false">IF(Registro!A265="","",Registro!C265)</f>
        <v/>
      </c>
      <c r="D265" s="5" t="str">
        <f aca="false">IF(Registro!A265="","",Registro!E265)</f>
        <v/>
      </c>
      <c r="E265" s="5" t="str">
        <f aca="false">IF(Registro!A265="","",Registro!G265)</f>
        <v/>
      </c>
      <c r="F265" s="5" t="str">
        <f aca="false">IF(Registro!A265="","",Registro!D265)</f>
        <v/>
      </c>
      <c r="G265" s="5" t="str">
        <f aca="false">IF(Registro!A265="","",Registro!T265)</f>
        <v/>
      </c>
      <c r="H265" s="5" t="str">
        <f aca="false">IF(Registro!A265="","",IF(Registro!D265="Realizada",Registro!L265,0))</f>
        <v/>
      </c>
      <c r="I265" s="11" t="str">
        <f aca="false">IF(OR(Registro!A265="",N(G265)=0),"",H265/G265)</f>
        <v/>
      </c>
    </row>
    <row r="266" customFormat="false" ht="15" hidden="false" customHeight="false" outlineLevel="0" collapsed="false">
      <c r="A266" s="5" t="str">
        <f aca="false">IF(Registro!A266="","",Registro!A266)</f>
        <v/>
      </c>
      <c r="B266" s="5" t="str">
        <f aca="false">IF(Registro!A266="","",Registro!B266)</f>
        <v/>
      </c>
      <c r="C266" s="5" t="str">
        <f aca="false">IF(Registro!A266="","",Registro!C266)</f>
        <v/>
      </c>
      <c r="D266" s="5" t="str">
        <f aca="false">IF(Registro!A266="","",Registro!E266)</f>
        <v/>
      </c>
      <c r="E266" s="5" t="str">
        <f aca="false">IF(Registro!A266="","",Registro!G266)</f>
        <v/>
      </c>
      <c r="F266" s="5" t="str">
        <f aca="false">IF(Registro!A266="","",Registro!D266)</f>
        <v/>
      </c>
      <c r="G266" s="5" t="str">
        <f aca="false">IF(Registro!A266="","",Registro!T266)</f>
        <v/>
      </c>
      <c r="H266" s="5" t="str">
        <f aca="false">IF(Registro!A266="","",IF(Registro!D266="Realizada",Registro!L266,0))</f>
        <v/>
      </c>
      <c r="I266" s="11" t="str">
        <f aca="false">IF(OR(Registro!A266="",N(G266)=0),"",H266/G266)</f>
        <v/>
      </c>
    </row>
    <row r="267" customFormat="false" ht="15" hidden="false" customHeight="false" outlineLevel="0" collapsed="false">
      <c r="A267" s="5" t="str">
        <f aca="false">IF(Registro!A267="","",Registro!A267)</f>
        <v/>
      </c>
      <c r="B267" s="5" t="str">
        <f aca="false">IF(Registro!A267="","",Registro!B267)</f>
        <v/>
      </c>
      <c r="C267" s="5" t="str">
        <f aca="false">IF(Registro!A267="","",Registro!C267)</f>
        <v/>
      </c>
      <c r="D267" s="5" t="str">
        <f aca="false">IF(Registro!A267="","",Registro!E267)</f>
        <v/>
      </c>
      <c r="E267" s="5" t="str">
        <f aca="false">IF(Registro!A267="","",Registro!G267)</f>
        <v/>
      </c>
      <c r="F267" s="5" t="str">
        <f aca="false">IF(Registro!A267="","",Registro!D267)</f>
        <v/>
      </c>
      <c r="G267" s="5" t="str">
        <f aca="false">IF(Registro!A267="","",Registro!T267)</f>
        <v/>
      </c>
      <c r="H267" s="5" t="str">
        <f aca="false">IF(Registro!A267="","",IF(Registro!D267="Realizada",Registro!L267,0))</f>
        <v/>
      </c>
      <c r="I267" s="11" t="str">
        <f aca="false">IF(OR(Registro!A267="",N(G267)=0),"",H267/G267)</f>
        <v/>
      </c>
    </row>
    <row r="268" customFormat="false" ht="15" hidden="false" customHeight="false" outlineLevel="0" collapsed="false">
      <c r="A268" s="5" t="str">
        <f aca="false">IF(Registro!A268="","",Registro!A268)</f>
        <v/>
      </c>
      <c r="B268" s="5" t="str">
        <f aca="false">IF(Registro!A268="","",Registro!B268)</f>
        <v/>
      </c>
      <c r="C268" s="5" t="str">
        <f aca="false">IF(Registro!A268="","",Registro!C268)</f>
        <v/>
      </c>
      <c r="D268" s="5" t="str">
        <f aca="false">IF(Registro!A268="","",Registro!E268)</f>
        <v/>
      </c>
      <c r="E268" s="5" t="str">
        <f aca="false">IF(Registro!A268="","",Registro!G268)</f>
        <v/>
      </c>
      <c r="F268" s="5" t="str">
        <f aca="false">IF(Registro!A268="","",Registro!D268)</f>
        <v/>
      </c>
      <c r="G268" s="5" t="str">
        <f aca="false">IF(Registro!A268="","",Registro!T268)</f>
        <v/>
      </c>
      <c r="H268" s="5" t="str">
        <f aca="false">IF(Registro!A268="","",IF(Registro!D268="Realizada",Registro!L268,0))</f>
        <v/>
      </c>
      <c r="I268" s="11" t="str">
        <f aca="false">IF(OR(Registro!A268="",N(G268)=0),"",H268/G268)</f>
        <v/>
      </c>
    </row>
    <row r="269" customFormat="false" ht="15" hidden="false" customHeight="false" outlineLevel="0" collapsed="false">
      <c r="A269" s="5" t="str">
        <f aca="false">IF(Registro!A269="","",Registro!A269)</f>
        <v/>
      </c>
      <c r="B269" s="5" t="str">
        <f aca="false">IF(Registro!A269="","",Registro!B269)</f>
        <v/>
      </c>
      <c r="C269" s="5" t="str">
        <f aca="false">IF(Registro!A269="","",Registro!C269)</f>
        <v/>
      </c>
      <c r="D269" s="5" t="str">
        <f aca="false">IF(Registro!A269="","",Registro!E269)</f>
        <v/>
      </c>
      <c r="E269" s="5" t="str">
        <f aca="false">IF(Registro!A269="","",Registro!G269)</f>
        <v/>
      </c>
      <c r="F269" s="5" t="str">
        <f aca="false">IF(Registro!A269="","",Registro!D269)</f>
        <v/>
      </c>
      <c r="G269" s="5" t="str">
        <f aca="false">IF(Registro!A269="","",Registro!T269)</f>
        <v/>
      </c>
      <c r="H269" s="5" t="str">
        <f aca="false">IF(Registro!A269="","",IF(Registro!D269="Realizada",Registro!L269,0))</f>
        <v/>
      </c>
      <c r="I269" s="11" t="str">
        <f aca="false">IF(OR(Registro!A269="",N(G269)=0),"",H269/G269)</f>
        <v/>
      </c>
    </row>
    <row r="270" customFormat="false" ht="15" hidden="false" customHeight="false" outlineLevel="0" collapsed="false">
      <c r="A270" s="5" t="str">
        <f aca="false">IF(Registro!A270="","",Registro!A270)</f>
        <v/>
      </c>
      <c r="B270" s="5" t="str">
        <f aca="false">IF(Registro!A270="","",Registro!B270)</f>
        <v/>
      </c>
      <c r="C270" s="5" t="str">
        <f aca="false">IF(Registro!A270="","",Registro!C270)</f>
        <v/>
      </c>
      <c r="D270" s="5" t="str">
        <f aca="false">IF(Registro!A270="","",Registro!E270)</f>
        <v/>
      </c>
      <c r="E270" s="5" t="str">
        <f aca="false">IF(Registro!A270="","",Registro!G270)</f>
        <v/>
      </c>
      <c r="F270" s="5" t="str">
        <f aca="false">IF(Registro!A270="","",Registro!D270)</f>
        <v/>
      </c>
      <c r="G270" s="5" t="str">
        <f aca="false">IF(Registro!A270="","",Registro!T270)</f>
        <v/>
      </c>
      <c r="H270" s="5" t="str">
        <f aca="false">IF(Registro!A270="","",IF(Registro!D270="Realizada",Registro!L270,0))</f>
        <v/>
      </c>
      <c r="I270" s="11" t="str">
        <f aca="false">IF(OR(Registro!A270="",N(G270)=0),"",H270/G270)</f>
        <v/>
      </c>
    </row>
    <row r="271" customFormat="false" ht="15" hidden="false" customHeight="false" outlineLevel="0" collapsed="false">
      <c r="A271" s="5" t="str">
        <f aca="false">IF(Registro!A271="","",Registro!A271)</f>
        <v/>
      </c>
      <c r="B271" s="5" t="str">
        <f aca="false">IF(Registro!A271="","",Registro!B271)</f>
        <v/>
      </c>
      <c r="C271" s="5" t="str">
        <f aca="false">IF(Registro!A271="","",Registro!C271)</f>
        <v/>
      </c>
      <c r="D271" s="5" t="str">
        <f aca="false">IF(Registro!A271="","",Registro!E271)</f>
        <v/>
      </c>
      <c r="E271" s="5" t="str">
        <f aca="false">IF(Registro!A271="","",Registro!G271)</f>
        <v/>
      </c>
      <c r="F271" s="5" t="str">
        <f aca="false">IF(Registro!A271="","",Registro!D271)</f>
        <v/>
      </c>
      <c r="G271" s="5" t="str">
        <f aca="false">IF(Registro!A271="","",Registro!T271)</f>
        <v/>
      </c>
      <c r="H271" s="5" t="str">
        <f aca="false">IF(Registro!A271="","",IF(Registro!D271="Realizada",Registro!L271,0))</f>
        <v/>
      </c>
      <c r="I271" s="11" t="str">
        <f aca="false">IF(OR(Registro!A271="",N(G271)=0),"",H271/G271)</f>
        <v/>
      </c>
    </row>
    <row r="272" customFormat="false" ht="15" hidden="false" customHeight="false" outlineLevel="0" collapsed="false">
      <c r="A272" s="5" t="str">
        <f aca="false">IF(Registro!A272="","",Registro!A272)</f>
        <v/>
      </c>
      <c r="B272" s="5" t="str">
        <f aca="false">IF(Registro!A272="","",Registro!B272)</f>
        <v/>
      </c>
      <c r="C272" s="5" t="str">
        <f aca="false">IF(Registro!A272="","",Registro!C272)</f>
        <v/>
      </c>
      <c r="D272" s="5" t="str">
        <f aca="false">IF(Registro!A272="","",Registro!E272)</f>
        <v/>
      </c>
      <c r="E272" s="5" t="str">
        <f aca="false">IF(Registro!A272="","",Registro!G272)</f>
        <v/>
      </c>
      <c r="F272" s="5" t="str">
        <f aca="false">IF(Registro!A272="","",Registro!D272)</f>
        <v/>
      </c>
      <c r="G272" s="5" t="str">
        <f aca="false">IF(Registro!A272="","",Registro!T272)</f>
        <v/>
      </c>
      <c r="H272" s="5" t="str">
        <f aca="false">IF(Registro!A272="","",IF(Registro!D272="Realizada",Registro!L272,0))</f>
        <v/>
      </c>
      <c r="I272" s="11" t="str">
        <f aca="false">IF(OR(Registro!A272="",N(G272)=0),"",H272/G272)</f>
        <v/>
      </c>
    </row>
    <row r="273" customFormat="false" ht="15" hidden="false" customHeight="false" outlineLevel="0" collapsed="false">
      <c r="A273" s="5" t="str">
        <f aca="false">IF(Registro!A273="","",Registro!A273)</f>
        <v/>
      </c>
      <c r="B273" s="5" t="str">
        <f aca="false">IF(Registro!A273="","",Registro!B273)</f>
        <v/>
      </c>
      <c r="C273" s="5" t="str">
        <f aca="false">IF(Registro!A273="","",Registro!C273)</f>
        <v/>
      </c>
      <c r="D273" s="5" t="str">
        <f aca="false">IF(Registro!A273="","",Registro!E273)</f>
        <v/>
      </c>
      <c r="E273" s="5" t="str">
        <f aca="false">IF(Registro!A273="","",Registro!G273)</f>
        <v/>
      </c>
      <c r="F273" s="5" t="str">
        <f aca="false">IF(Registro!A273="","",Registro!D273)</f>
        <v/>
      </c>
      <c r="G273" s="5" t="str">
        <f aca="false">IF(Registro!A273="","",Registro!T273)</f>
        <v/>
      </c>
      <c r="H273" s="5" t="str">
        <f aca="false">IF(Registro!A273="","",IF(Registro!D273="Realizada",Registro!L273,0))</f>
        <v/>
      </c>
      <c r="I273" s="11" t="str">
        <f aca="false">IF(OR(Registro!A273="",N(G273)=0),"",H273/G273)</f>
        <v/>
      </c>
    </row>
    <row r="274" customFormat="false" ht="15" hidden="false" customHeight="false" outlineLevel="0" collapsed="false">
      <c r="A274" s="5" t="str">
        <f aca="false">IF(Registro!A274="","",Registro!A274)</f>
        <v/>
      </c>
      <c r="B274" s="5" t="str">
        <f aca="false">IF(Registro!A274="","",Registro!B274)</f>
        <v/>
      </c>
      <c r="C274" s="5" t="str">
        <f aca="false">IF(Registro!A274="","",Registro!C274)</f>
        <v/>
      </c>
      <c r="D274" s="5" t="str">
        <f aca="false">IF(Registro!A274="","",Registro!E274)</f>
        <v/>
      </c>
      <c r="E274" s="5" t="str">
        <f aca="false">IF(Registro!A274="","",Registro!G274)</f>
        <v/>
      </c>
      <c r="F274" s="5" t="str">
        <f aca="false">IF(Registro!A274="","",Registro!D274)</f>
        <v/>
      </c>
      <c r="G274" s="5" t="str">
        <f aca="false">IF(Registro!A274="","",Registro!T274)</f>
        <v/>
      </c>
      <c r="H274" s="5" t="str">
        <f aca="false">IF(Registro!A274="","",IF(Registro!D274="Realizada",Registro!L274,0))</f>
        <v/>
      </c>
      <c r="I274" s="11" t="str">
        <f aca="false">IF(OR(Registro!A274="",N(G274)=0),"",H274/G274)</f>
        <v/>
      </c>
    </row>
    <row r="275" customFormat="false" ht="15" hidden="false" customHeight="false" outlineLevel="0" collapsed="false">
      <c r="A275" s="5" t="str">
        <f aca="false">IF(Registro!A275="","",Registro!A275)</f>
        <v/>
      </c>
      <c r="B275" s="5" t="str">
        <f aca="false">IF(Registro!A275="","",Registro!B275)</f>
        <v/>
      </c>
      <c r="C275" s="5" t="str">
        <f aca="false">IF(Registro!A275="","",Registro!C275)</f>
        <v/>
      </c>
      <c r="D275" s="5" t="str">
        <f aca="false">IF(Registro!A275="","",Registro!E275)</f>
        <v/>
      </c>
      <c r="E275" s="5" t="str">
        <f aca="false">IF(Registro!A275="","",Registro!G275)</f>
        <v/>
      </c>
      <c r="F275" s="5" t="str">
        <f aca="false">IF(Registro!A275="","",Registro!D275)</f>
        <v/>
      </c>
      <c r="G275" s="5" t="str">
        <f aca="false">IF(Registro!A275="","",Registro!T275)</f>
        <v/>
      </c>
      <c r="H275" s="5" t="str">
        <f aca="false">IF(Registro!A275="","",IF(Registro!D275="Realizada",Registro!L275,0))</f>
        <v/>
      </c>
      <c r="I275" s="11" t="str">
        <f aca="false">IF(OR(Registro!A275="",N(G275)=0),"",H275/G275)</f>
        <v/>
      </c>
    </row>
    <row r="276" customFormat="false" ht="15" hidden="false" customHeight="false" outlineLevel="0" collapsed="false">
      <c r="A276" s="5" t="str">
        <f aca="false">IF(Registro!A276="","",Registro!A276)</f>
        <v/>
      </c>
      <c r="B276" s="5" t="str">
        <f aca="false">IF(Registro!A276="","",Registro!B276)</f>
        <v/>
      </c>
      <c r="C276" s="5" t="str">
        <f aca="false">IF(Registro!A276="","",Registro!C276)</f>
        <v/>
      </c>
      <c r="D276" s="5" t="str">
        <f aca="false">IF(Registro!A276="","",Registro!E276)</f>
        <v/>
      </c>
      <c r="E276" s="5" t="str">
        <f aca="false">IF(Registro!A276="","",Registro!G276)</f>
        <v/>
      </c>
      <c r="F276" s="5" t="str">
        <f aca="false">IF(Registro!A276="","",Registro!D276)</f>
        <v/>
      </c>
      <c r="G276" s="5" t="str">
        <f aca="false">IF(Registro!A276="","",Registro!T276)</f>
        <v/>
      </c>
      <c r="H276" s="5" t="str">
        <f aca="false">IF(Registro!A276="","",IF(Registro!D276="Realizada",Registro!L276,0))</f>
        <v/>
      </c>
      <c r="I276" s="11" t="str">
        <f aca="false">IF(OR(Registro!A276="",N(G276)=0),"",H276/G276)</f>
        <v/>
      </c>
    </row>
    <row r="277" customFormat="false" ht="15" hidden="false" customHeight="false" outlineLevel="0" collapsed="false">
      <c r="A277" s="5" t="str">
        <f aca="false">IF(Registro!A277="","",Registro!A277)</f>
        <v/>
      </c>
      <c r="B277" s="5" t="str">
        <f aca="false">IF(Registro!A277="","",Registro!B277)</f>
        <v/>
      </c>
      <c r="C277" s="5" t="str">
        <f aca="false">IF(Registro!A277="","",Registro!C277)</f>
        <v/>
      </c>
      <c r="D277" s="5" t="str">
        <f aca="false">IF(Registro!A277="","",Registro!E277)</f>
        <v/>
      </c>
      <c r="E277" s="5" t="str">
        <f aca="false">IF(Registro!A277="","",Registro!G277)</f>
        <v/>
      </c>
      <c r="F277" s="5" t="str">
        <f aca="false">IF(Registro!A277="","",Registro!D277)</f>
        <v/>
      </c>
      <c r="G277" s="5" t="str">
        <f aca="false">IF(Registro!A277="","",Registro!T277)</f>
        <v/>
      </c>
      <c r="H277" s="5" t="str">
        <f aca="false">IF(Registro!A277="","",IF(Registro!D277="Realizada",Registro!L277,0))</f>
        <v/>
      </c>
      <c r="I277" s="11" t="str">
        <f aca="false">IF(OR(Registro!A277="",N(G277)=0),"",H277/G277)</f>
        <v/>
      </c>
    </row>
    <row r="278" customFormat="false" ht="15" hidden="false" customHeight="false" outlineLevel="0" collapsed="false">
      <c r="A278" s="5" t="str">
        <f aca="false">IF(Registro!A278="","",Registro!A278)</f>
        <v/>
      </c>
      <c r="B278" s="5" t="str">
        <f aca="false">IF(Registro!A278="","",Registro!B278)</f>
        <v/>
      </c>
      <c r="C278" s="5" t="str">
        <f aca="false">IF(Registro!A278="","",Registro!C278)</f>
        <v/>
      </c>
      <c r="D278" s="5" t="str">
        <f aca="false">IF(Registro!A278="","",Registro!E278)</f>
        <v/>
      </c>
      <c r="E278" s="5" t="str">
        <f aca="false">IF(Registro!A278="","",Registro!G278)</f>
        <v/>
      </c>
      <c r="F278" s="5" t="str">
        <f aca="false">IF(Registro!A278="","",Registro!D278)</f>
        <v/>
      </c>
      <c r="G278" s="5" t="str">
        <f aca="false">IF(Registro!A278="","",Registro!T278)</f>
        <v/>
      </c>
      <c r="H278" s="5" t="str">
        <f aca="false">IF(Registro!A278="","",IF(Registro!D278="Realizada",Registro!L278,0))</f>
        <v/>
      </c>
      <c r="I278" s="11" t="str">
        <f aca="false">IF(OR(Registro!A278="",N(G278)=0),"",H278/G278)</f>
        <v/>
      </c>
    </row>
    <row r="279" customFormat="false" ht="15" hidden="false" customHeight="false" outlineLevel="0" collapsed="false">
      <c r="A279" s="5" t="str">
        <f aca="false">IF(Registro!A279="","",Registro!A279)</f>
        <v/>
      </c>
      <c r="B279" s="5" t="str">
        <f aca="false">IF(Registro!A279="","",Registro!B279)</f>
        <v/>
      </c>
      <c r="C279" s="5" t="str">
        <f aca="false">IF(Registro!A279="","",Registro!C279)</f>
        <v/>
      </c>
      <c r="D279" s="5" t="str">
        <f aca="false">IF(Registro!A279="","",Registro!E279)</f>
        <v/>
      </c>
      <c r="E279" s="5" t="str">
        <f aca="false">IF(Registro!A279="","",Registro!G279)</f>
        <v/>
      </c>
      <c r="F279" s="5" t="str">
        <f aca="false">IF(Registro!A279="","",Registro!D279)</f>
        <v/>
      </c>
      <c r="G279" s="5" t="str">
        <f aca="false">IF(Registro!A279="","",Registro!T279)</f>
        <v/>
      </c>
      <c r="H279" s="5" t="str">
        <f aca="false">IF(Registro!A279="","",IF(Registro!D279="Realizada",Registro!L279,0))</f>
        <v/>
      </c>
      <c r="I279" s="11" t="str">
        <f aca="false">IF(OR(Registro!A279="",N(G279)=0),"",H279/G279)</f>
        <v/>
      </c>
    </row>
    <row r="280" customFormat="false" ht="15" hidden="false" customHeight="false" outlineLevel="0" collapsed="false">
      <c r="A280" s="5" t="str">
        <f aca="false">IF(Registro!A280="","",Registro!A280)</f>
        <v/>
      </c>
      <c r="B280" s="5" t="str">
        <f aca="false">IF(Registro!A280="","",Registro!B280)</f>
        <v/>
      </c>
      <c r="C280" s="5" t="str">
        <f aca="false">IF(Registro!A280="","",Registro!C280)</f>
        <v/>
      </c>
      <c r="D280" s="5" t="str">
        <f aca="false">IF(Registro!A280="","",Registro!E280)</f>
        <v/>
      </c>
      <c r="E280" s="5" t="str">
        <f aca="false">IF(Registro!A280="","",Registro!G280)</f>
        <v/>
      </c>
      <c r="F280" s="5" t="str">
        <f aca="false">IF(Registro!A280="","",Registro!D280)</f>
        <v/>
      </c>
      <c r="G280" s="5" t="str">
        <f aca="false">IF(Registro!A280="","",Registro!T280)</f>
        <v/>
      </c>
      <c r="H280" s="5" t="str">
        <f aca="false">IF(Registro!A280="","",IF(Registro!D280="Realizada",Registro!L280,0))</f>
        <v/>
      </c>
      <c r="I280" s="11" t="str">
        <f aca="false">IF(OR(Registro!A280="",N(G280)=0),"",H280/G280)</f>
        <v/>
      </c>
    </row>
    <row r="281" customFormat="false" ht="15" hidden="false" customHeight="false" outlineLevel="0" collapsed="false">
      <c r="A281" s="5" t="str">
        <f aca="false">IF(Registro!A281="","",Registro!A281)</f>
        <v/>
      </c>
      <c r="B281" s="5" t="str">
        <f aca="false">IF(Registro!A281="","",Registro!B281)</f>
        <v/>
      </c>
      <c r="C281" s="5" t="str">
        <f aca="false">IF(Registro!A281="","",Registro!C281)</f>
        <v/>
      </c>
      <c r="D281" s="5" t="str">
        <f aca="false">IF(Registro!A281="","",Registro!E281)</f>
        <v/>
      </c>
      <c r="E281" s="5" t="str">
        <f aca="false">IF(Registro!A281="","",Registro!G281)</f>
        <v/>
      </c>
      <c r="F281" s="5" t="str">
        <f aca="false">IF(Registro!A281="","",Registro!D281)</f>
        <v/>
      </c>
      <c r="G281" s="5" t="str">
        <f aca="false">IF(Registro!A281="","",Registro!T281)</f>
        <v/>
      </c>
      <c r="H281" s="5" t="str">
        <f aca="false">IF(Registro!A281="","",IF(Registro!D281="Realizada",Registro!L281,0))</f>
        <v/>
      </c>
      <c r="I281" s="11" t="str">
        <f aca="false">IF(OR(Registro!A281="",N(G281)=0),"",H281/G281)</f>
        <v/>
      </c>
    </row>
    <row r="282" customFormat="false" ht="15" hidden="false" customHeight="false" outlineLevel="0" collapsed="false">
      <c r="A282" s="5" t="str">
        <f aca="false">IF(Registro!A282="","",Registro!A282)</f>
        <v/>
      </c>
      <c r="B282" s="5" t="str">
        <f aca="false">IF(Registro!A282="","",Registro!B282)</f>
        <v/>
      </c>
      <c r="C282" s="5" t="str">
        <f aca="false">IF(Registro!A282="","",Registro!C282)</f>
        <v/>
      </c>
      <c r="D282" s="5" t="str">
        <f aca="false">IF(Registro!A282="","",Registro!E282)</f>
        <v/>
      </c>
      <c r="E282" s="5" t="str">
        <f aca="false">IF(Registro!A282="","",Registro!G282)</f>
        <v/>
      </c>
      <c r="F282" s="5" t="str">
        <f aca="false">IF(Registro!A282="","",Registro!D282)</f>
        <v/>
      </c>
      <c r="G282" s="5" t="str">
        <f aca="false">IF(Registro!A282="","",Registro!T282)</f>
        <v/>
      </c>
      <c r="H282" s="5" t="str">
        <f aca="false">IF(Registro!A282="","",IF(Registro!D282="Realizada",Registro!L282,0))</f>
        <v/>
      </c>
      <c r="I282" s="11" t="str">
        <f aca="false">IF(OR(Registro!A282="",N(G282)=0),"",H282/G282)</f>
        <v/>
      </c>
    </row>
    <row r="283" customFormat="false" ht="15" hidden="false" customHeight="false" outlineLevel="0" collapsed="false">
      <c r="A283" s="5" t="str">
        <f aca="false">IF(Registro!A283="","",Registro!A283)</f>
        <v/>
      </c>
      <c r="B283" s="5" t="str">
        <f aca="false">IF(Registro!A283="","",Registro!B283)</f>
        <v/>
      </c>
      <c r="C283" s="5" t="str">
        <f aca="false">IF(Registro!A283="","",Registro!C283)</f>
        <v/>
      </c>
      <c r="D283" s="5" t="str">
        <f aca="false">IF(Registro!A283="","",Registro!E283)</f>
        <v/>
      </c>
      <c r="E283" s="5" t="str">
        <f aca="false">IF(Registro!A283="","",Registro!G283)</f>
        <v/>
      </c>
      <c r="F283" s="5" t="str">
        <f aca="false">IF(Registro!A283="","",Registro!D283)</f>
        <v/>
      </c>
      <c r="G283" s="5" t="str">
        <f aca="false">IF(Registro!A283="","",Registro!T283)</f>
        <v/>
      </c>
      <c r="H283" s="5" t="str">
        <f aca="false">IF(Registro!A283="","",IF(Registro!D283="Realizada",Registro!L283,0))</f>
        <v/>
      </c>
      <c r="I283" s="11" t="str">
        <f aca="false">IF(OR(Registro!A283="",N(G283)=0),"",H283/G283)</f>
        <v/>
      </c>
    </row>
    <row r="284" customFormat="false" ht="15" hidden="false" customHeight="false" outlineLevel="0" collapsed="false">
      <c r="A284" s="5" t="str">
        <f aca="false">IF(Registro!A284="","",Registro!A284)</f>
        <v/>
      </c>
      <c r="B284" s="5" t="str">
        <f aca="false">IF(Registro!A284="","",Registro!B284)</f>
        <v/>
      </c>
      <c r="C284" s="5" t="str">
        <f aca="false">IF(Registro!A284="","",Registro!C284)</f>
        <v/>
      </c>
      <c r="D284" s="5" t="str">
        <f aca="false">IF(Registro!A284="","",Registro!E284)</f>
        <v/>
      </c>
      <c r="E284" s="5" t="str">
        <f aca="false">IF(Registro!A284="","",Registro!G284)</f>
        <v/>
      </c>
      <c r="F284" s="5" t="str">
        <f aca="false">IF(Registro!A284="","",Registro!D284)</f>
        <v/>
      </c>
      <c r="G284" s="5" t="str">
        <f aca="false">IF(Registro!A284="","",Registro!T284)</f>
        <v/>
      </c>
      <c r="H284" s="5" t="str">
        <f aca="false">IF(Registro!A284="","",IF(Registro!D284="Realizada",Registro!L284,0))</f>
        <v/>
      </c>
      <c r="I284" s="11" t="str">
        <f aca="false">IF(OR(Registro!A284="",N(G284)=0),"",H284/G284)</f>
        <v/>
      </c>
    </row>
    <row r="285" customFormat="false" ht="15" hidden="false" customHeight="false" outlineLevel="0" collapsed="false">
      <c r="A285" s="5" t="str">
        <f aca="false">IF(Registro!A285="","",Registro!A285)</f>
        <v/>
      </c>
      <c r="B285" s="5" t="str">
        <f aca="false">IF(Registro!A285="","",Registro!B285)</f>
        <v/>
      </c>
      <c r="C285" s="5" t="str">
        <f aca="false">IF(Registro!A285="","",Registro!C285)</f>
        <v/>
      </c>
      <c r="D285" s="5" t="str">
        <f aca="false">IF(Registro!A285="","",Registro!E285)</f>
        <v/>
      </c>
      <c r="E285" s="5" t="str">
        <f aca="false">IF(Registro!A285="","",Registro!G285)</f>
        <v/>
      </c>
      <c r="F285" s="5" t="str">
        <f aca="false">IF(Registro!A285="","",Registro!D285)</f>
        <v/>
      </c>
      <c r="G285" s="5" t="str">
        <f aca="false">IF(Registro!A285="","",Registro!T285)</f>
        <v/>
      </c>
      <c r="H285" s="5" t="str">
        <f aca="false">IF(Registro!A285="","",IF(Registro!D285="Realizada",Registro!L285,0))</f>
        <v/>
      </c>
      <c r="I285" s="11" t="str">
        <f aca="false">IF(OR(Registro!A285="",N(G285)=0),"",H285/G285)</f>
        <v/>
      </c>
    </row>
    <row r="286" customFormat="false" ht="15" hidden="false" customHeight="false" outlineLevel="0" collapsed="false">
      <c r="A286" s="5" t="str">
        <f aca="false">IF(Registro!A286="","",Registro!A286)</f>
        <v/>
      </c>
      <c r="B286" s="5" t="str">
        <f aca="false">IF(Registro!A286="","",Registro!B286)</f>
        <v/>
      </c>
      <c r="C286" s="5" t="str">
        <f aca="false">IF(Registro!A286="","",Registro!C286)</f>
        <v/>
      </c>
      <c r="D286" s="5" t="str">
        <f aca="false">IF(Registro!A286="","",Registro!E286)</f>
        <v/>
      </c>
      <c r="E286" s="5" t="str">
        <f aca="false">IF(Registro!A286="","",Registro!G286)</f>
        <v/>
      </c>
      <c r="F286" s="5" t="str">
        <f aca="false">IF(Registro!A286="","",Registro!D286)</f>
        <v/>
      </c>
      <c r="G286" s="5" t="str">
        <f aca="false">IF(Registro!A286="","",Registro!T286)</f>
        <v/>
      </c>
      <c r="H286" s="5" t="str">
        <f aca="false">IF(Registro!A286="","",IF(Registro!D286="Realizada",Registro!L286,0))</f>
        <v/>
      </c>
      <c r="I286" s="11" t="str">
        <f aca="false">IF(OR(Registro!A286="",N(G286)=0),"",H286/G286)</f>
        <v/>
      </c>
    </row>
    <row r="287" customFormat="false" ht="15" hidden="false" customHeight="false" outlineLevel="0" collapsed="false">
      <c r="A287" s="5" t="str">
        <f aca="false">IF(Registro!A287="","",Registro!A287)</f>
        <v/>
      </c>
      <c r="B287" s="5" t="str">
        <f aca="false">IF(Registro!A287="","",Registro!B287)</f>
        <v/>
      </c>
      <c r="C287" s="5" t="str">
        <f aca="false">IF(Registro!A287="","",Registro!C287)</f>
        <v/>
      </c>
      <c r="D287" s="5" t="str">
        <f aca="false">IF(Registro!A287="","",Registro!E287)</f>
        <v/>
      </c>
      <c r="E287" s="5" t="str">
        <f aca="false">IF(Registro!A287="","",Registro!G287)</f>
        <v/>
      </c>
      <c r="F287" s="5" t="str">
        <f aca="false">IF(Registro!A287="","",Registro!D287)</f>
        <v/>
      </c>
      <c r="G287" s="5" t="str">
        <f aca="false">IF(Registro!A287="","",Registro!T287)</f>
        <v/>
      </c>
      <c r="H287" s="5" t="str">
        <f aca="false">IF(Registro!A287="","",IF(Registro!D287="Realizada",Registro!L287,0))</f>
        <v/>
      </c>
      <c r="I287" s="11" t="str">
        <f aca="false">IF(OR(Registro!A287="",N(G287)=0),"",H287/G287)</f>
        <v/>
      </c>
    </row>
    <row r="288" customFormat="false" ht="15" hidden="false" customHeight="false" outlineLevel="0" collapsed="false">
      <c r="A288" s="5" t="str">
        <f aca="false">IF(Registro!A288="","",Registro!A288)</f>
        <v/>
      </c>
      <c r="B288" s="5" t="str">
        <f aca="false">IF(Registro!A288="","",Registro!B288)</f>
        <v/>
      </c>
      <c r="C288" s="5" t="str">
        <f aca="false">IF(Registro!A288="","",Registro!C288)</f>
        <v/>
      </c>
      <c r="D288" s="5" t="str">
        <f aca="false">IF(Registro!A288="","",Registro!E288)</f>
        <v/>
      </c>
      <c r="E288" s="5" t="str">
        <f aca="false">IF(Registro!A288="","",Registro!G288)</f>
        <v/>
      </c>
      <c r="F288" s="5" t="str">
        <f aca="false">IF(Registro!A288="","",Registro!D288)</f>
        <v/>
      </c>
      <c r="G288" s="5" t="str">
        <f aca="false">IF(Registro!A288="","",Registro!T288)</f>
        <v/>
      </c>
      <c r="H288" s="5" t="str">
        <f aca="false">IF(Registro!A288="","",IF(Registro!D288="Realizada",Registro!L288,0))</f>
        <v/>
      </c>
      <c r="I288" s="11" t="str">
        <f aca="false">IF(OR(Registro!A288="",N(G288)=0),"",H288/G288)</f>
        <v/>
      </c>
    </row>
    <row r="289" customFormat="false" ht="15" hidden="false" customHeight="false" outlineLevel="0" collapsed="false">
      <c r="A289" s="5" t="str">
        <f aca="false">IF(Registro!A289="","",Registro!A289)</f>
        <v/>
      </c>
      <c r="B289" s="5" t="str">
        <f aca="false">IF(Registro!A289="","",Registro!B289)</f>
        <v/>
      </c>
      <c r="C289" s="5" t="str">
        <f aca="false">IF(Registro!A289="","",Registro!C289)</f>
        <v/>
      </c>
      <c r="D289" s="5" t="str">
        <f aca="false">IF(Registro!A289="","",Registro!E289)</f>
        <v/>
      </c>
      <c r="E289" s="5" t="str">
        <f aca="false">IF(Registro!A289="","",Registro!G289)</f>
        <v/>
      </c>
      <c r="F289" s="5" t="str">
        <f aca="false">IF(Registro!A289="","",Registro!D289)</f>
        <v/>
      </c>
      <c r="G289" s="5" t="str">
        <f aca="false">IF(Registro!A289="","",Registro!T289)</f>
        <v/>
      </c>
      <c r="H289" s="5" t="str">
        <f aca="false">IF(Registro!A289="","",IF(Registro!D289="Realizada",Registro!L289,0))</f>
        <v/>
      </c>
      <c r="I289" s="11" t="str">
        <f aca="false">IF(OR(Registro!A289="",N(G289)=0),"",H289/G289)</f>
        <v/>
      </c>
    </row>
    <row r="290" customFormat="false" ht="15" hidden="false" customHeight="false" outlineLevel="0" collapsed="false">
      <c r="A290" s="5" t="str">
        <f aca="false">IF(Registro!A290="","",Registro!A290)</f>
        <v/>
      </c>
      <c r="B290" s="5" t="str">
        <f aca="false">IF(Registro!A290="","",Registro!B290)</f>
        <v/>
      </c>
      <c r="C290" s="5" t="str">
        <f aca="false">IF(Registro!A290="","",Registro!C290)</f>
        <v/>
      </c>
      <c r="D290" s="5" t="str">
        <f aca="false">IF(Registro!A290="","",Registro!E290)</f>
        <v/>
      </c>
      <c r="E290" s="5" t="str">
        <f aca="false">IF(Registro!A290="","",Registro!G290)</f>
        <v/>
      </c>
      <c r="F290" s="5" t="str">
        <f aca="false">IF(Registro!A290="","",Registro!D290)</f>
        <v/>
      </c>
      <c r="G290" s="5" t="str">
        <f aca="false">IF(Registro!A290="","",Registro!T290)</f>
        <v/>
      </c>
      <c r="H290" s="5" t="str">
        <f aca="false">IF(Registro!A290="","",IF(Registro!D290="Realizada",Registro!L290,0))</f>
        <v/>
      </c>
      <c r="I290" s="11" t="str">
        <f aca="false">IF(OR(Registro!A290="",N(G290)=0),"",H290/G290)</f>
        <v/>
      </c>
    </row>
    <row r="291" customFormat="false" ht="15" hidden="false" customHeight="false" outlineLevel="0" collapsed="false">
      <c r="A291" s="5" t="str">
        <f aca="false">IF(Registro!A291="","",Registro!A291)</f>
        <v/>
      </c>
      <c r="B291" s="5" t="str">
        <f aca="false">IF(Registro!A291="","",Registro!B291)</f>
        <v/>
      </c>
      <c r="C291" s="5" t="str">
        <f aca="false">IF(Registro!A291="","",Registro!C291)</f>
        <v/>
      </c>
      <c r="D291" s="5" t="str">
        <f aca="false">IF(Registro!A291="","",Registro!E291)</f>
        <v/>
      </c>
      <c r="E291" s="5" t="str">
        <f aca="false">IF(Registro!A291="","",Registro!G291)</f>
        <v/>
      </c>
      <c r="F291" s="5" t="str">
        <f aca="false">IF(Registro!A291="","",Registro!D291)</f>
        <v/>
      </c>
      <c r="G291" s="5" t="str">
        <f aca="false">IF(Registro!A291="","",Registro!T291)</f>
        <v/>
      </c>
      <c r="H291" s="5" t="str">
        <f aca="false">IF(Registro!A291="","",IF(Registro!D291="Realizada",Registro!L291,0))</f>
        <v/>
      </c>
      <c r="I291" s="11" t="str">
        <f aca="false">IF(OR(Registro!A291="",N(G291)=0),"",H291/G291)</f>
        <v/>
      </c>
    </row>
    <row r="292" customFormat="false" ht="15" hidden="false" customHeight="false" outlineLevel="0" collapsed="false">
      <c r="A292" s="5" t="str">
        <f aca="false">IF(Registro!A292="","",Registro!A292)</f>
        <v/>
      </c>
      <c r="B292" s="5" t="str">
        <f aca="false">IF(Registro!A292="","",Registro!B292)</f>
        <v/>
      </c>
      <c r="C292" s="5" t="str">
        <f aca="false">IF(Registro!A292="","",Registro!C292)</f>
        <v/>
      </c>
      <c r="D292" s="5" t="str">
        <f aca="false">IF(Registro!A292="","",Registro!E292)</f>
        <v/>
      </c>
      <c r="E292" s="5" t="str">
        <f aca="false">IF(Registro!A292="","",Registro!G292)</f>
        <v/>
      </c>
      <c r="F292" s="5" t="str">
        <f aca="false">IF(Registro!A292="","",Registro!D292)</f>
        <v/>
      </c>
      <c r="G292" s="5" t="str">
        <f aca="false">IF(Registro!A292="","",Registro!T292)</f>
        <v/>
      </c>
      <c r="H292" s="5" t="str">
        <f aca="false">IF(Registro!A292="","",IF(Registro!D292="Realizada",Registro!L292,0))</f>
        <v/>
      </c>
      <c r="I292" s="11" t="str">
        <f aca="false">IF(OR(Registro!A292="",N(G292)=0),"",H292/G292)</f>
        <v/>
      </c>
    </row>
    <row r="293" customFormat="false" ht="15" hidden="false" customHeight="false" outlineLevel="0" collapsed="false">
      <c r="A293" s="5" t="str">
        <f aca="false">IF(Registro!A293="","",Registro!A293)</f>
        <v/>
      </c>
      <c r="B293" s="5" t="str">
        <f aca="false">IF(Registro!A293="","",Registro!B293)</f>
        <v/>
      </c>
      <c r="C293" s="5" t="str">
        <f aca="false">IF(Registro!A293="","",Registro!C293)</f>
        <v/>
      </c>
      <c r="D293" s="5" t="str">
        <f aca="false">IF(Registro!A293="","",Registro!E293)</f>
        <v/>
      </c>
      <c r="E293" s="5" t="str">
        <f aca="false">IF(Registro!A293="","",Registro!G293)</f>
        <v/>
      </c>
      <c r="F293" s="5" t="str">
        <f aca="false">IF(Registro!A293="","",Registro!D293)</f>
        <v/>
      </c>
      <c r="G293" s="5" t="str">
        <f aca="false">IF(Registro!A293="","",Registro!T293)</f>
        <v/>
      </c>
      <c r="H293" s="5" t="str">
        <f aca="false">IF(Registro!A293="","",IF(Registro!D293="Realizada",Registro!L293,0))</f>
        <v/>
      </c>
      <c r="I293" s="11" t="str">
        <f aca="false">IF(OR(Registro!A293="",N(G293)=0),"",H293/G293)</f>
        <v/>
      </c>
    </row>
    <row r="294" customFormat="false" ht="15" hidden="false" customHeight="false" outlineLevel="0" collapsed="false">
      <c r="A294" s="5" t="str">
        <f aca="false">IF(Registro!A294="","",Registro!A294)</f>
        <v/>
      </c>
      <c r="B294" s="5" t="str">
        <f aca="false">IF(Registro!A294="","",Registro!B294)</f>
        <v/>
      </c>
      <c r="C294" s="5" t="str">
        <f aca="false">IF(Registro!A294="","",Registro!C294)</f>
        <v/>
      </c>
      <c r="D294" s="5" t="str">
        <f aca="false">IF(Registro!A294="","",Registro!E294)</f>
        <v/>
      </c>
      <c r="E294" s="5" t="str">
        <f aca="false">IF(Registro!A294="","",Registro!G294)</f>
        <v/>
      </c>
      <c r="F294" s="5" t="str">
        <f aca="false">IF(Registro!A294="","",Registro!D294)</f>
        <v/>
      </c>
      <c r="G294" s="5" t="str">
        <f aca="false">IF(Registro!A294="","",Registro!T294)</f>
        <v/>
      </c>
      <c r="H294" s="5" t="str">
        <f aca="false">IF(Registro!A294="","",IF(Registro!D294="Realizada",Registro!L294,0))</f>
        <v/>
      </c>
      <c r="I294" s="11" t="str">
        <f aca="false">IF(OR(Registro!A294="",N(G294)=0),"",H294/G294)</f>
        <v/>
      </c>
    </row>
    <row r="295" customFormat="false" ht="15" hidden="false" customHeight="false" outlineLevel="0" collapsed="false">
      <c r="A295" s="5" t="str">
        <f aca="false">IF(Registro!A295="","",Registro!A295)</f>
        <v/>
      </c>
      <c r="B295" s="5" t="str">
        <f aca="false">IF(Registro!A295="","",Registro!B295)</f>
        <v/>
      </c>
      <c r="C295" s="5" t="str">
        <f aca="false">IF(Registro!A295="","",Registro!C295)</f>
        <v/>
      </c>
      <c r="D295" s="5" t="str">
        <f aca="false">IF(Registro!A295="","",Registro!E295)</f>
        <v/>
      </c>
      <c r="E295" s="5" t="str">
        <f aca="false">IF(Registro!A295="","",Registro!G295)</f>
        <v/>
      </c>
      <c r="F295" s="5" t="str">
        <f aca="false">IF(Registro!A295="","",Registro!D295)</f>
        <v/>
      </c>
      <c r="G295" s="5" t="str">
        <f aca="false">IF(Registro!A295="","",Registro!T295)</f>
        <v/>
      </c>
      <c r="H295" s="5" t="str">
        <f aca="false">IF(Registro!A295="","",IF(Registro!D295="Realizada",Registro!L295,0))</f>
        <v/>
      </c>
      <c r="I295" s="11" t="str">
        <f aca="false">IF(OR(Registro!A295="",N(G295)=0),"",H295/G295)</f>
        <v/>
      </c>
    </row>
    <row r="296" customFormat="false" ht="15" hidden="false" customHeight="false" outlineLevel="0" collapsed="false">
      <c r="A296" s="5" t="str">
        <f aca="false">IF(Registro!A296="","",Registro!A296)</f>
        <v/>
      </c>
      <c r="B296" s="5" t="str">
        <f aca="false">IF(Registro!A296="","",Registro!B296)</f>
        <v/>
      </c>
      <c r="C296" s="5" t="str">
        <f aca="false">IF(Registro!A296="","",Registro!C296)</f>
        <v/>
      </c>
      <c r="D296" s="5" t="str">
        <f aca="false">IF(Registro!A296="","",Registro!E296)</f>
        <v/>
      </c>
      <c r="E296" s="5" t="str">
        <f aca="false">IF(Registro!A296="","",Registro!G296)</f>
        <v/>
      </c>
      <c r="F296" s="5" t="str">
        <f aca="false">IF(Registro!A296="","",Registro!D296)</f>
        <v/>
      </c>
      <c r="G296" s="5" t="str">
        <f aca="false">IF(Registro!A296="","",Registro!T296)</f>
        <v/>
      </c>
      <c r="H296" s="5" t="str">
        <f aca="false">IF(Registro!A296="","",IF(Registro!D296="Realizada",Registro!L296,0))</f>
        <v/>
      </c>
      <c r="I296" s="11" t="str">
        <f aca="false">IF(OR(Registro!A296="",N(G296)=0),"",H296/G296)</f>
        <v/>
      </c>
    </row>
    <row r="297" customFormat="false" ht="15" hidden="false" customHeight="false" outlineLevel="0" collapsed="false">
      <c r="A297" s="5" t="str">
        <f aca="false">IF(Registro!A297="","",Registro!A297)</f>
        <v/>
      </c>
      <c r="B297" s="5" t="str">
        <f aca="false">IF(Registro!A297="","",Registro!B297)</f>
        <v/>
      </c>
      <c r="C297" s="5" t="str">
        <f aca="false">IF(Registro!A297="","",Registro!C297)</f>
        <v/>
      </c>
      <c r="D297" s="5" t="str">
        <f aca="false">IF(Registro!A297="","",Registro!E297)</f>
        <v/>
      </c>
      <c r="E297" s="5" t="str">
        <f aca="false">IF(Registro!A297="","",Registro!G297)</f>
        <v/>
      </c>
      <c r="F297" s="5" t="str">
        <f aca="false">IF(Registro!A297="","",Registro!D297)</f>
        <v/>
      </c>
      <c r="G297" s="5" t="str">
        <f aca="false">IF(Registro!A297="","",Registro!T297)</f>
        <v/>
      </c>
      <c r="H297" s="5" t="str">
        <f aca="false">IF(Registro!A297="","",IF(Registro!D297="Realizada",Registro!L297,0))</f>
        <v/>
      </c>
      <c r="I297" s="11" t="str">
        <f aca="false">IF(OR(Registro!A297="",N(G297)=0),"",H297/G297)</f>
        <v/>
      </c>
    </row>
    <row r="298" customFormat="false" ht="15" hidden="false" customHeight="false" outlineLevel="0" collapsed="false">
      <c r="A298" s="5" t="str">
        <f aca="false">IF(Registro!A298="","",Registro!A298)</f>
        <v/>
      </c>
      <c r="B298" s="5" t="str">
        <f aca="false">IF(Registro!A298="","",Registro!B298)</f>
        <v/>
      </c>
      <c r="C298" s="5" t="str">
        <f aca="false">IF(Registro!A298="","",Registro!C298)</f>
        <v/>
      </c>
      <c r="D298" s="5" t="str">
        <f aca="false">IF(Registro!A298="","",Registro!E298)</f>
        <v/>
      </c>
      <c r="E298" s="5" t="str">
        <f aca="false">IF(Registro!A298="","",Registro!G298)</f>
        <v/>
      </c>
      <c r="F298" s="5" t="str">
        <f aca="false">IF(Registro!A298="","",Registro!D298)</f>
        <v/>
      </c>
      <c r="G298" s="5" t="str">
        <f aca="false">IF(Registro!A298="","",Registro!T298)</f>
        <v/>
      </c>
      <c r="H298" s="5" t="str">
        <f aca="false">IF(Registro!A298="","",IF(Registro!D298="Realizada",Registro!L298,0))</f>
        <v/>
      </c>
      <c r="I298" s="11" t="str">
        <f aca="false">IF(OR(Registro!A298="",N(G298)=0),"",H298/G298)</f>
        <v/>
      </c>
    </row>
    <row r="299" customFormat="false" ht="15" hidden="false" customHeight="false" outlineLevel="0" collapsed="false">
      <c r="A299" s="5" t="str">
        <f aca="false">IF(Registro!A299="","",Registro!A299)</f>
        <v/>
      </c>
      <c r="B299" s="5" t="str">
        <f aca="false">IF(Registro!A299="","",Registro!B299)</f>
        <v/>
      </c>
      <c r="C299" s="5" t="str">
        <f aca="false">IF(Registro!A299="","",Registro!C299)</f>
        <v/>
      </c>
      <c r="D299" s="5" t="str">
        <f aca="false">IF(Registro!A299="","",Registro!E299)</f>
        <v/>
      </c>
      <c r="E299" s="5" t="str">
        <f aca="false">IF(Registro!A299="","",Registro!G299)</f>
        <v/>
      </c>
      <c r="F299" s="5" t="str">
        <f aca="false">IF(Registro!A299="","",Registro!D299)</f>
        <v/>
      </c>
      <c r="G299" s="5" t="str">
        <f aca="false">IF(Registro!A299="","",Registro!T299)</f>
        <v/>
      </c>
      <c r="H299" s="5" t="str">
        <f aca="false">IF(Registro!A299="","",IF(Registro!D299="Realizada",Registro!L299,0))</f>
        <v/>
      </c>
      <c r="I299" s="11" t="str">
        <f aca="false">IF(OR(Registro!A299="",N(G299)=0),"",H299/G299)</f>
        <v/>
      </c>
    </row>
    <row r="300" customFormat="false" ht="15" hidden="false" customHeight="false" outlineLevel="0" collapsed="false">
      <c r="A300" s="5" t="str">
        <f aca="false">IF(Registro!A300="","",Registro!A300)</f>
        <v/>
      </c>
      <c r="B300" s="5" t="str">
        <f aca="false">IF(Registro!A300="","",Registro!B300)</f>
        <v/>
      </c>
      <c r="C300" s="5" t="str">
        <f aca="false">IF(Registro!A300="","",Registro!C300)</f>
        <v/>
      </c>
      <c r="D300" s="5" t="str">
        <f aca="false">IF(Registro!A300="","",Registro!E300)</f>
        <v/>
      </c>
      <c r="E300" s="5" t="str">
        <f aca="false">IF(Registro!A300="","",Registro!G300)</f>
        <v/>
      </c>
      <c r="F300" s="5" t="str">
        <f aca="false">IF(Registro!A300="","",Registro!D300)</f>
        <v/>
      </c>
      <c r="G300" s="5" t="str">
        <f aca="false">IF(Registro!A300="","",Registro!T300)</f>
        <v/>
      </c>
      <c r="H300" s="5" t="str">
        <f aca="false">IF(Registro!A300="","",IF(Registro!D300="Realizada",Registro!L300,0))</f>
        <v/>
      </c>
      <c r="I300" s="11" t="str">
        <f aca="false">IF(OR(Registro!A300="",N(G300)=0),"",H300/G300)</f>
        <v/>
      </c>
    </row>
    <row r="301" customFormat="false" ht="15" hidden="false" customHeight="false" outlineLevel="0" collapsed="false">
      <c r="A301" s="5" t="str">
        <f aca="false">IF(Registro!A301="","",Registro!A301)</f>
        <v/>
      </c>
      <c r="B301" s="5" t="str">
        <f aca="false">IF(Registro!A301="","",Registro!B301)</f>
        <v/>
      </c>
      <c r="C301" s="5" t="str">
        <f aca="false">IF(Registro!A301="","",Registro!C301)</f>
        <v/>
      </c>
      <c r="D301" s="5" t="str">
        <f aca="false">IF(Registro!A301="","",Registro!E301)</f>
        <v/>
      </c>
      <c r="E301" s="5" t="str">
        <f aca="false">IF(Registro!A301="","",Registro!G301)</f>
        <v/>
      </c>
      <c r="F301" s="5" t="str">
        <f aca="false">IF(Registro!A301="","",Registro!D301)</f>
        <v/>
      </c>
      <c r="G301" s="5" t="str">
        <f aca="false">IF(Registro!A301="","",Registro!T301)</f>
        <v/>
      </c>
      <c r="H301" s="5" t="str">
        <f aca="false">IF(Registro!A301="","",IF(Registro!D301="Realizada",Registro!L301,0))</f>
        <v/>
      </c>
      <c r="I301" s="11" t="str">
        <f aca="false">IF(OR(Registro!A301="",N(G301)=0),"",H301/G301)</f>
        <v/>
      </c>
    </row>
    <row r="302" customFormat="false" ht="15" hidden="false" customHeight="false" outlineLevel="0" collapsed="false">
      <c r="A302" s="5" t="str">
        <f aca="false">IF(Registro!A302="","",Registro!A302)</f>
        <v/>
      </c>
      <c r="B302" s="5" t="str">
        <f aca="false">IF(Registro!A302="","",Registro!B302)</f>
        <v/>
      </c>
      <c r="C302" s="5" t="str">
        <f aca="false">IF(Registro!A302="","",Registro!C302)</f>
        <v/>
      </c>
      <c r="D302" s="5" t="str">
        <f aca="false">IF(Registro!A302="","",Registro!E302)</f>
        <v/>
      </c>
      <c r="E302" s="5" t="str">
        <f aca="false">IF(Registro!A302="","",Registro!G302)</f>
        <v/>
      </c>
      <c r="F302" s="5" t="str">
        <f aca="false">IF(Registro!A302="","",Registro!D302)</f>
        <v/>
      </c>
      <c r="G302" s="5" t="str">
        <f aca="false">IF(Registro!A302="","",Registro!T302)</f>
        <v/>
      </c>
      <c r="H302" s="5" t="str">
        <f aca="false">IF(Registro!A302="","",IF(Registro!D302="Realizada",Registro!L302,0))</f>
        <v/>
      </c>
      <c r="I302" s="11" t="str">
        <f aca="false">IF(OR(Registro!A302="",N(G302)=0),"",H302/G302)</f>
        <v/>
      </c>
    </row>
    <row r="303" customFormat="false" ht="15" hidden="false" customHeight="false" outlineLevel="0" collapsed="false">
      <c r="A303" s="5" t="str">
        <f aca="false">IF(Registro!A303="","",Registro!A303)</f>
        <v/>
      </c>
      <c r="B303" s="5" t="str">
        <f aca="false">IF(Registro!A303="","",Registro!B303)</f>
        <v/>
      </c>
      <c r="C303" s="5" t="str">
        <f aca="false">IF(Registro!A303="","",Registro!C303)</f>
        <v/>
      </c>
      <c r="D303" s="5" t="str">
        <f aca="false">IF(Registro!A303="","",Registro!E303)</f>
        <v/>
      </c>
      <c r="E303" s="5" t="str">
        <f aca="false">IF(Registro!A303="","",Registro!G303)</f>
        <v/>
      </c>
      <c r="F303" s="5" t="str">
        <f aca="false">IF(Registro!A303="","",Registro!D303)</f>
        <v/>
      </c>
      <c r="G303" s="5" t="str">
        <f aca="false">IF(Registro!A303="","",Registro!T303)</f>
        <v/>
      </c>
      <c r="H303" s="5" t="str">
        <f aca="false">IF(Registro!A303="","",IF(Registro!D303="Realizada",Registro!L303,0))</f>
        <v/>
      </c>
      <c r="I303" s="11" t="str">
        <f aca="false">IF(OR(Registro!A303="",N(G303)=0),"",H303/G303)</f>
        <v/>
      </c>
    </row>
    <row r="304" customFormat="false" ht="15" hidden="false" customHeight="false" outlineLevel="0" collapsed="false">
      <c r="A304" s="5" t="str">
        <f aca="false">IF(Registro!A304="","",Registro!A304)</f>
        <v/>
      </c>
      <c r="B304" s="5" t="str">
        <f aca="false">IF(Registro!A304="","",Registro!B304)</f>
        <v/>
      </c>
      <c r="C304" s="5" t="str">
        <f aca="false">IF(Registro!A304="","",Registro!C304)</f>
        <v/>
      </c>
      <c r="D304" s="5" t="str">
        <f aca="false">IF(Registro!A304="","",Registro!E304)</f>
        <v/>
      </c>
      <c r="E304" s="5" t="str">
        <f aca="false">IF(Registro!A304="","",Registro!G304)</f>
        <v/>
      </c>
      <c r="F304" s="5" t="str">
        <f aca="false">IF(Registro!A304="","",Registro!D304)</f>
        <v/>
      </c>
      <c r="G304" s="5" t="str">
        <f aca="false">IF(Registro!A304="","",Registro!T304)</f>
        <v/>
      </c>
      <c r="H304" s="5" t="str">
        <f aca="false">IF(Registro!A304="","",IF(Registro!D304="Realizada",Registro!L304,0))</f>
        <v/>
      </c>
      <c r="I304" s="11" t="str">
        <f aca="false">IF(OR(Registro!A304="",N(G304)=0),"",H304/G304)</f>
        <v/>
      </c>
    </row>
    <row r="305" customFormat="false" ht="15" hidden="false" customHeight="false" outlineLevel="0" collapsed="false">
      <c r="A305" s="5" t="str">
        <f aca="false">IF(Registro!A305="","",Registro!A305)</f>
        <v/>
      </c>
      <c r="B305" s="5" t="str">
        <f aca="false">IF(Registro!A305="","",Registro!B305)</f>
        <v/>
      </c>
      <c r="C305" s="5" t="str">
        <f aca="false">IF(Registro!A305="","",Registro!C305)</f>
        <v/>
      </c>
      <c r="D305" s="5" t="str">
        <f aca="false">IF(Registro!A305="","",Registro!E305)</f>
        <v/>
      </c>
      <c r="E305" s="5" t="str">
        <f aca="false">IF(Registro!A305="","",Registro!G305)</f>
        <v/>
      </c>
      <c r="F305" s="5" t="str">
        <f aca="false">IF(Registro!A305="","",Registro!D305)</f>
        <v/>
      </c>
      <c r="G305" s="5" t="str">
        <f aca="false">IF(Registro!A305="","",Registro!T305)</f>
        <v/>
      </c>
      <c r="H305" s="5" t="str">
        <f aca="false">IF(Registro!A305="","",IF(Registro!D305="Realizada",Registro!L305,0))</f>
        <v/>
      </c>
      <c r="I305" s="11" t="str">
        <f aca="false">IF(OR(Registro!A305="",N(G305)=0),"",H305/G305)</f>
        <v/>
      </c>
    </row>
    <row r="306" customFormat="false" ht="15" hidden="false" customHeight="false" outlineLevel="0" collapsed="false">
      <c r="A306" s="5" t="str">
        <f aca="false">IF(Registro!A306="","",Registro!A306)</f>
        <v/>
      </c>
      <c r="B306" s="5" t="str">
        <f aca="false">IF(Registro!A306="","",Registro!B306)</f>
        <v/>
      </c>
      <c r="C306" s="5" t="str">
        <f aca="false">IF(Registro!A306="","",Registro!C306)</f>
        <v/>
      </c>
      <c r="D306" s="5" t="str">
        <f aca="false">IF(Registro!A306="","",Registro!E306)</f>
        <v/>
      </c>
      <c r="E306" s="5" t="str">
        <f aca="false">IF(Registro!A306="","",Registro!G306)</f>
        <v/>
      </c>
      <c r="F306" s="5" t="str">
        <f aca="false">IF(Registro!A306="","",Registro!D306)</f>
        <v/>
      </c>
      <c r="G306" s="5" t="str">
        <f aca="false">IF(Registro!A306="","",Registro!T306)</f>
        <v/>
      </c>
      <c r="H306" s="5" t="str">
        <f aca="false">IF(Registro!A306="","",IF(Registro!D306="Realizada",Registro!L306,0))</f>
        <v/>
      </c>
      <c r="I306" s="11" t="str">
        <f aca="false">IF(OR(Registro!A306="",N(G306)=0),"",H306/G306)</f>
        <v/>
      </c>
    </row>
    <row r="307" customFormat="false" ht="15" hidden="false" customHeight="false" outlineLevel="0" collapsed="false">
      <c r="A307" s="5" t="str">
        <f aca="false">IF(Registro!A307="","",Registro!A307)</f>
        <v/>
      </c>
      <c r="B307" s="5" t="str">
        <f aca="false">IF(Registro!A307="","",Registro!B307)</f>
        <v/>
      </c>
      <c r="C307" s="5" t="str">
        <f aca="false">IF(Registro!A307="","",Registro!C307)</f>
        <v/>
      </c>
      <c r="D307" s="5" t="str">
        <f aca="false">IF(Registro!A307="","",Registro!E307)</f>
        <v/>
      </c>
      <c r="E307" s="5" t="str">
        <f aca="false">IF(Registro!A307="","",Registro!G307)</f>
        <v/>
      </c>
      <c r="F307" s="5" t="str">
        <f aca="false">IF(Registro!A307="","",Registro!D307)</f>
        <v/>
      </c>
      <c r="G307" s="5" t="str">
        <f aca="false">IF(Registro!A307="","",Registro!T307)</f>
        <v/>
      </c>
      <c r="H307" s="5" t="str">
        <f aca="false">IF(Registro!A307="","",IF(Registro!D307="Realizada",Registro!L307,0))</f>
        <v/>
      </c>
      <c r="I307" s="11" t="str">
        <f aca="false">IF(OR(Registro!A307="",N(G307)=0),"",H307/G307)</f>
        <v/>
      </c>
    </row>
    <row r="308" customFormat="false" ht="15" hidden="false" customHeight="false" outlineLevel="0" collapsed="false">
      <c r="A308" s="5" t="str">
        <f aca="false">IF(Registro!A308="","",Registro!A308)</f>
        <v/>
      </c>
      <c r="B308" s="5" t="str">
        <f aca="false">IF(Registro!A308="","",Registro!B308)</f>
        <v/>
      </c>
      <c r="C308" s="5" t="str">
        <f aca="false">IF(Registro!A308="","",Registro!C308)</f>
        <v/>
      </c>
      <c r="D308" s="5" t="str">
        <f aca="false">IF(Registro!A308="","",Registro!E308)</f>
        <v/>
      </c>
      <c r="E308" s="5" t="str">
        <f aca="false">IF(Registro!A308="","",Registro!G308)</f>
        <v/>
      </c>
      <c r="F308" s="5" t="str">
        <f aca="false">IF(Registro!A308="","",Registro!D308)</f>
        <v/>
      </c>
      <c r="G308" s="5" t="str">
        <f aca="false">IF(Registro!A308="","",Registro!T308)</f>
        <v/>
      </c>
      <c r="H308" s="5" t="str">
        <f aca="false">IF(Registro!A308="","",IF(Registro!D308="Realizada",Registro!L308,0))</f>
        <v/>
      </c>
      <c r="I308" s="11" t="str">
        <f aca="false">IF(OR(Registro!A308="",N(G308)=0),"",H308/G308)</f>
        <v/>
      </c>
    </row>
    <row r="309" customFormat="false" ht="15" hidden="false" customHeight="false" outlineLevel="0" collapsed="false">
      <c r="A309" s="5" t="str">
        <f aca="false">IF(Registro!A309="","",Registro!A309)</f>
        <v/>
      </c>
      <c r="B309" s="5" t="str">
        <f aca="false">IF(Registro!A309="","",Registro!B309)</f>
        <v/>
      </c>
      <c r="C309" s="5" t="str">
        <f aca="false">IF(Registro!A309="","",Registro!C309)</f>
        <v/>
      </c>
      <c r="D309" s="5" t="str">
        <f aca="false">IF(Registro!A309="","",Registro!E309)</f>
        <v/>
      </c>
      <c r="E309" s="5" t="str">
        <f aca="false">IF(Registro!A309="","",Registro!G309)</f>
        <v/>
      </c>
      <c r="F309" s="5" t="str">
        <f aca="false">IF(Registro!A309="","",Registro!D309)</f>
        <v/>
      </c>
      <c r="G309" s="5" t="str">
        <f aca="false">IF(Registro!A309="","",Registro!T309)</f>
        <v/>
      </c>
      <c r="H309" s="5" t="str">
        <f aca="false">IF(Registro!A309="","",IF(Registro!D309="Realizada",Registro!L309,0))</f>
        <v/>
      </c>
      <c r="I309" s="11" t="str">
        <f aca="false">IF(OR(Registro!A309="",N(G309)=0),"",H309/G309)</f>
        <v/>
      </c>
    </row>
    <row r="310" customFormat="false" ht="15" hidden="false" customHeight="false" outlineLevel="0" collapsed="false">
      <c r="A310" s="5" t="str">
        <f aca="false">IF(Registro!A310="","",Registro!A310)</f>
        <v/>
      </c>
      <c r="B310" s="5" t="str">
        <f aca="false">IF(Registro!A310="","",Registro!B310)</f>
        <v/>
      </c>
      <c r="C310" s="5" t="str">
        <f aca="false">IF(Registro!A310="","",Registro!C310)</f>
        <v/>
      </c>
      <c r="D310" s="5" t="str">
        <f aca="false">IF(Registro!A310="","",Registro!E310)</f>
        <v/>
      </c>
      <c r="E310" s="5" t="str">
        <f aca="false">IF(Registro!A310="","",Registro!G310)</f>
        <v/>
      </c>
      <c r="F310" s="5" t="str">
        <f aca="false">IF(Registro!A310="","",Registro!D310)</f>
        <v/>
      </c>
      <c r="G310" s="5" t="str">
        <f aca="false">IF(Registro!A310="","",Registro!T310)</f>
        <v/>
      </c>
      <c r="H310" s="5" t="str">
        <f aca="false">IF(Registro!A310="","",IF(Registro!D310="Realizada",Registro!L310,0))</f>
        <v/>
      </c>
      <c r="I310" s="11" t="str">
        <f aca="false">IF(OR(Registro!A310="",N(G310)=0),"",H310/G310)</f>
        <v/>
      </c>
    </row>
    <row r="311" customFormat="false" ht="15" hidden="false" customHeight="false" outlineLevel="0" collapsed="false">
      <c r="A311" s="5" t="str">
        <f aca="false">IF(Registro!A311="","",Registro!A311)</f>
        <v/>
      </c>
      <c r="B311" s="5" t="str">
        <f aca="false">IF(Registro!A311="","",Registro!B311)</f>
        <v/>
      </c>
      <c r="C311" s="5" t="str">
        <f aca="false">IF(Registro!A311="","",Registro!C311)</f>
        <v/>
      </c>
      <c r="D311" s="5" t="str">
        <f aca="false">IF(Registro!A311="","",Registro!E311)</f>
        <v/>
      </c>
      <c r="E311" s="5" t="str">
        <f aca="false">IF(Registro!A311="","",Registro!G311)</f>
        <v/>
      </c>
      <c r="F311" s="5" t="str">
        <f aca="false">IF(Registro!A311="","",Registro!D311)</f>
        <v/>
      </c>
      <c r="G311" s="5" t="str">
        <f aca="false">IF(Registro!A311="","",Registro!T311)</f>
        <v/>
      </c>
      <c r="H311" s="5" t="str">
        <f aca="false">IF(Registro!A311="","",IF(Registro!D311="Realizada",Registro!L311,0))</f>
        <v/>
      </c>
      <c r="I311" s="11" t="str">
        <f aca="false">IF(OR(Registro!A311="",N(G311)=0),"",H311/G311)</f>
        <v/>
      </c>
    </row>
    <row r="312" customFormat="false" ht="15" hidden="false" customHeight="false" outlineLevel="0" collapsed="false">
      <c r="A312" s="5" t="str">
        <f aca="false">IF(Registro!A312="","",Registro!A312)</f>
        <v/>
      </c>
      <c r="B312" s="5" t="str">
        <f aca="false">IF(Registro!A312="","",Registro!B312)</f>
        <v/>
      </c>
      <c r="C312" s="5" t="str">
        <f aca="false">IF(Registro!A312="","",Registro!C312)</f>
        <v/>
      </c>
      <c r="D312" s="5" t="str">
        <f aca="false">IF(Registro!A312="","",Registro!E312)</f>
        <v/>
      </c>
      <c r="E312" s="5" t="str">
        <f aca="false">IF(Registro!A312="","",Registro!G312)</f>
        <v/>
      </c>
      <c r="F312" s="5" t="str">
        <f aca="false">IF(Registro!A312="","",Registro!D312)</f>
        <v/>
      </c>
      <c r="G312" s="5" t="str">
        <f aca="false">IF(Registro!A312="","",Registro!T312)</f>
        <v/>
      </c>
      <c r="H312" s="5" t="str">
        <f aca="false">IF(Registro!A312="","",IF(Registro!D312="Realizada",Registro!L312,0))</f>
        <v/>
      </c>
      <c r="I312" s="11" t="str">
        <f aca="false">IF(OR(Registro!A312="",N(G312)=0),"",H312/G312)</f>
        <v/>
      </c>
    </row>
    <row r="313" customFormat="false" ht="15" hidden="false" customHeight="false" outlineLevel="0" collapsed="false">
      <c r="A313" s="5" t="str">
        <f aca="false">IF(Registro!A313="","",Registro!A313)</f>
        <v/>
      </c>
      <c r="B313" s="5" t="str">
        <f aca="false">IF(Registro!A313="","",Registro!B313)</f>
        <v/>
      </c>
      <c r="C313" s="5" t="str">
        <f aca="false">IF(Registro!A313="","",Registro!C313)</f>
        <v/>
      </c>
      <c r="D313" s="5" t="str">
        <f aca="false">IF(Registro!A313="","",Registro!E313)</f>
        <v/>
      </c>
      <c r="E313" s="5" t="str">
        <f aca="false">IF(Registro!A313="","",Registro!G313)</f>
        <v/>
      </c>
      <c r="F313" s="5" t="str">
        <f aca="false">IF(Registro!A313="","",Registro!D313)</f>
        <v/>
      </c>
      <c r="G313" s="5" t="str">
        <f aca="false">IF(Registro!A313="","",Registro!T313)</f>
        <v/>
      </c>
      <c r="H313" s="5" t="str">
        <f aca="false">IF(Registro!A313="","",IF(Registro!D313="Realizada",Registro!L313,0))</f>
        <v/>
      </c>
      <c r="I313" s="11" t="str">
        <f aca="false">IF(OR(Registro!A313="",N(G313)=0),"",H313/G313)</f>
        <v/>
      </c>
    </row>
    <row r="314" customFormat="false" ht="15" hidden="false" customHeight="false" outlineLevel="0" collapsed="false">
      <c r="A314" s="5" t="str">
        <f aca="false">IF(Registro!A314="","",Registro!A314)</f>
        <v/>
      </c>
      <c r="B314" s="5" t="str">
        <f aca="false">IF(Registro!A314="","",Registro!B314)</f>
        <v/>
      </c>
      <c r="C314" s="5" t="str">
        <f aca="false">IF(Registro!A314="","",Registro!C314)</f>
        <v/>
      </c>
      <c r="D314" s="5" t="str">
        <f aca="false">IF(Registro!A314="","",Registro!E314)</f>
        <v/>
      </c>
      <c r="E314" s="5" t="str">
        <f aca="false">IF(Registro!A314="","",Registro!G314)</f>
        <v/>
      </c>
      <c r="F314" s="5" t="str">
        <f aca="false">IF(Registro!A314="","",Registro!D314)</f>
        <v/>
      </c>
      <c r="G314" s="5" t="str">
        <f aca="false">IF(Registro!A314="","",Registro!T314)</f>
        <v/>
      </c>
      <c r="H314" s="5" t="str">
        <f aca="false">IF(Registro!A314="","",IF(Registro!D314="Realizada",Registro!L314,0))</f>
        <v/>
      </c>
      <c r="I314" s="11" t="str">
        <f aca="false">IF(OR(Registro!A314="",N(G314)=0),"",H314/G314)</f>
        <v/>
      </c>
    </row>
    <row r="315" customFormat="false" ht="15" hidden="false" customHeight="false" outlineLevel="0" collapsed="false">
      <c r="A315" s="5" t="str">
        <f aca="false">IF(Registro!A315="","",Registro!A315)</f>
        <v/>
      </c>
      <c r="B315" s="5" t="str">
        <f aca="false">IF(Registro!A315="","",Registro!B315)</f>
        <v/>
      </c>
      <c r="C315" s="5" t="str">
        <f aca="false">IF(Registro!A315="","",Registro!C315)</f>
        <v/>
      </c>
      <c r="D315" s="5" t="str">
        <f aca="false">IF(Registro!A315="","",Registro!E315)</f>
        <v/>
      </c>
      <c r="E315" s="5" t="str">
        <f aca="false">IF(Registro!A315="","",Registro!G315)</f>
        <v/>
      </c>
      <c r="F315" s="5" t="str">
        <f aca="false">IF(Registro!A315="","",Registro!D315)</f>
        <v/>
      </c>
      <c r="G315" s="5" t="str">
        <f aca="false">IF(Registro!A315="","",Registro!T315)</f>
        <v/>
      </c>
      <c r="H315" s="5" t="str">
        <f aca="false">IF(Registro!A315="","",IF(Registro!D315="Realizada",Registro!L315,0))</f>
        <v/>
      </c>
      <c r="I315" s="11" t="str">
        <f aca="false">IF(OR(Registro!A315="",N(G315)=0),"",H315/G315)</f>
        <v/>
      </c>
    </row>
    <row r="316" customFormat="false" ht="15" hidden="false" customHeight="false" outlineLevel="0" collapsed="false">
      <c r="A316" s="5" t="str">
        <f aca="false">IF(Registro!A316="","",Registro!A316)</f>
        <v/>
      </c>
      <c r="B316" s="5" t="str">
        <f aca="false">IF(Registro!A316="","",Registro!B316)</f>
        <v/>
      </c>
      <c r="C316" s="5" t="str">
        <f aca="false">IF(Registro!A316="","",Registro!C316)</f>
        <v/>
      </c>
      <c r="D316" s="5" t="str">
        <f aca="false">IF(Registro!A316="","",Registro!E316)</f>
        <v/>
      </c>
      <c r="E316" s="5" t="str">
        <f aca="false">IF(Registro!A316="","",Registro!G316)</f>
        <v/>
      </c>
      <c r="F316" s="5" t="str">
        <f aca="false">IF(Registro!A316="","",Registro!D316)</f>
        <v/>
      </c>
      <c r="G316" s="5" t="str">
        <f aca="false">IF(Registro!A316="","",Registro!T316)</f>
        <v/>
      </c>
      <c r="H316" s="5" t="str">
        <f aca="false">IF(Registro!A316="","",IF(Registro!D316="Realizada",Registro!L316,0))</f>
        <v/>
      </c>
      <c r="I316" s="11" t="str">
        <f aca="false">IF(OR(Registro!A316="",N(G316)=0),"",H316/G316)</f>
        <v/>
      </c>
    </row>
    <row r="317" customFormat="false" ht="15" hidden="false" customHeight="false" outlineLevel="0" collapsed="false">
      <c r="A317" s="5" t="str">
        <f aca="false">IF(Registro!A317="","",Registro!A317)</f>
        <v/>
      </c>
      <c r="B317" s="5" t="str">
        <f aca="false">IF(Registro!A317="","",Registro!B317)</f>
        <v/>
      </c>
      <c r="C317" s="5" t="str">
        <f aca="false">IF(Registro!A317="","",Registro!C317)</f>
        <v/>
      </c>
      <c r="D317" s="5" t="str">
        <f aca="false">IF(Registro!A317="","",Registro!E317)</f>
        <v/>
      </c>
      <c r="E317" s="5" t="str">
        <f aca="false">IF(Registro!A317="","",Registro!G317)</f>
        <v/>
      </c>
      <c r="F317" s="5" t="str">
        <f aca="false">IF(Registro!A317="","",Registro!D317)</f>
        <v/>
      </c>
      <c r="G317" s="5" t="str">
        <f aca="false">IF(Registro!A317="","",Registro!T317)</f>
        <v/>
      </c>
      <c r="H317" s="5" t="str">
        <f aca="false">IF(Registro!A317="","",IF(Registro!D317="Realizada",Registro!L317,0))</f>
        <v/>
      </c>
      <c r="I317" s="11" t="str">
        <f aca="false">IF(OR(Registro!A317="",N(G317)=0),"",H317/G317)</f>
        <v/>
      </c>
    </row>
    <row r="318" customFormat="false" ht="15" hidden="false" customHeight="false" outlineLevel="0" collapsed="false">
      <c r="A318" s="5" t="str">
        <f aca="false">IF(Registro!A318="","",Registro!A318)</f>
        <v/>
      </c>
      <c r="B318" s="5" t="str">
        <f aca="false">IF(Registro!A318="","",Registro!B318)</f>
        <v/>
      </c>
      <c r="C318" s="5" t="str">
        <f aca="false">IF(Registro!A318="","",Registro!C318)</f>
        <v/>
      </c>
      <c r="D318" s="5" t="str">
        <f aca="false">IF(Registro!A318="","",Registro!E318)</f>
        <v/>
      </c>
      <c r="E318" s="5" t="str">
        <f aca="false">IF(Registro!A318="","",Registro!G318)</f>
        <v/>
      </c>
      <c r="F318" s="5" t="str">
        <f aca="false">IF(Registro!A318="","",Registro!D318)</f>
        <v/>
      </c>
      <c r="G318" s="5" t="str">
        <f aca="false">IF(Registro!A318="","",Registro!T318)</f>
        <v/>
      </c>
      <c r="H318" s="5" t="str">
        <f aca="false">IF(Registro!A318="","",IF(Registro!D318="Realizada",Registro!L318,0))</f>
        <v/>
      </c>
      <c r="I318" s="11" t="str">
        <f aca="false">IF(OR(Registro!A318="",N(G318)=0),"",H318/G318)</f>
        <v/>
      </c>
    </row>
    <row r="319" customFormat="false" ht="15" hidden="false" customHeight="false" outlineLevel="0" collapsed="false">
      <c r="A319" s="5" t="str">
        <f aca="false">IF(Registro!A319="","",Registro!A319)</f>
        <v/>
      </c>
      <c r="B319" s="5" t="str">
        <f aca="false">IF(Registro!A319="","",Registro!B319)</f>
        <v/>
      </c>
      <c r="C319" s="5" t="str">
        <f aca="false">IF(Registro!A319="","",Registro!C319)</f>
        <v/>
      </c>
      <c r="D319" s="5" t="str">
        <f aca="false">IF(Registro!A319="","",Registro!E319)</f>
        <v/>
      </c>
      <c r="E319" s="5" t="str">
        <f aca="false">IF(Registro!A319="","",Registro!G319)</f>
        <v/>
      </c>
      <c r="F319" s="5" t="str">
        <f aca="false">IF(Registro!A319="","",Registro!D319)</f>
        <v/>
      </c>
      <c r="G319" s="5" t="str">
        <f aca="false">IF(Registro!A319="","",Registro!T319)</f>
        <v/>
      </c>
      <c r="H319" s="5" t="str">
        <f aca="false">IF(Registro!A319="","",IF(Registro!D319="Realizada",Registro!L319,0))</f>
        <v/>
      </c>
      <c r="I319" s="11" t="str">
        <f aca="false">IF(OR(Registro!A319="",N(G319)=0),"",H319/G319)</f>
        <v/>
      </c>
    </row>
    <row r="320" customFormat="false" ht="15" hidden="false" customHeight="false" outlineLevel="0" collapsed="false">
      <c r="A320" s="5" t="str">
        <f aca="false">IF(Registro!A320="","",Registro!A320)</f>
        <v/>
      </c>
      <c r="B320" s="5" t="str">
        <f aca="false">IF(Registro!A320="","",Registro!B320)</f>
        <v/>
      </c>
      <c r="C320" s="5" t="str">
        <f aca="false">IF(Registro!A320="","",Registro!C320)</f>
        <v/>
      </c>
      <c r="D320" s="5" t="str">
        <f aca="false">IF(Registro!A320="","",Registro!E320)</f>
        <v/>
      </c>
      <c r="E320" s="5" t="str">
        <f aca="false">IF(Registro!A320="","",Registro!G320)</f>
        <v/>
      </c>
      <c r="F320" s="5" t="str">
        <f aca="false">IF(Registro!A320="","",Registro!D320)</f>
        <v/>
      </c>
      <c r="G320" s="5" t="str">
        <f aca="false">IF(Registro!A320="","",Registro!T320)</f>
        <v/>
      </c>
      <c r="H320" s="5" t="str">
        <f aca="false">IF(Registro!A320="","",IF(Registro!D320="Realizada",Registro!L320,0))</f>
        <v/>
      </c>
      <c r="I320" s="11" t="str">
        <f aca="false">IF(OR(Registro!A320="",N(G320)=0),"",H320/G320)</f>
        <v/>
      </c>
    </row>
    <row r="321" customFormat="false" ht="15" hidden="false" customHeight="false" outlineLevel="0" collapsed="false">
      <c r="A321" s="5" t="str">
        <f aca="false">IF(Registro!A321="","",Registro!A321)</f>
        <v/>
      </c>
      <c r="B321" s="5" t="str">
        <f aca="false">IF(Registro!A321="","",Registro!B321)</f>
        <v/>
      </c>
      <c r="C321" s="5" t="str">
        <f aca="false">IF(Registro!A321="","",Registro!C321)</f>
        <v/>
      </c>
      <c r="D321" s="5" t="str">
        <f aca="false">IF(Registro!A321="","",Registro!E321)</f>
        <v/>
      </c>
      <c r="E321" s="5" t="str">
        <f aca="false">IF(Registro!A321="","",Registro!G321)</f>
        <v/>
      </c>
      <c r="F321" s="5" t="str">
        <f aca="false">IF(Registro!A321="","",Registro!D321)</f>
        <v/>
      </c>
      <c r="G321" s="5" t="str">
        <f aca="false">IF(Registro!A321="","",Registro!T321)</f>
        <v/>
      </c>
      <c r="H321" s="5" t="str">
        <f aca="false">IF(Registro!A321="","",IF(Registro!D321="Realizada",Registro!L321,0))</f>
        <v/>
      </c>
      <c r="I321" s="11" t="str">
        <f aca="false">IF(OR(Registro!A321="",N(G321)=0),"",H321/G321)</f>
        <v/>
      </c>
    </row>
    <row r="322" customFormat="false" ht="15" hidden="false" customHeight="false" outlineLevel="0" collapsed="false">
      <c r="A322" s="5" t="str">
        <f aca="false">IF(Registro!A322="","",Registro!A322)</f>
        <v/>
      </c>
      <c r="B322" s="5" t="str">
        <f aca="false">IF(Registro!A322="","",Registro!B322)</f>
        <v/>
      </c>
      <c r="C322" s="5" t="str">
        <f aca="false">IF(Registro!A322="","",Registro!C322)</f>
        <v/>
      </c>
      <c r="D322" s="5" t="str">
        <f aca="false">IF(Registro!A322="","",Registro!E322)</f>
        <v/>
      </c>
      <c r="E322" s="5" t="str">
        <f aca="false">IF(Registro!A322="","",Registro!G322)</f>
        <v/>
      </c>
      <c r="F322" s="5" t="str">
        <f aca="false">IF(Registro!A322="","",Registro!D322)</f>
        <v/>
      </c>
      <c r="G322" s="5" t="str">
        <f aca="false">IF(Registro!A322="","",Registro!T322)</f>
        <v/>
      </c>
      <c r="H322" s="5" t="str">
        <f aca="false">IF(Registro!A322="","",IF(Registro!D322="Realizada",Registro!L322,0))</f>
        <v/>
      </c>
      <c r="I322" s="11" t="str">
        <f aca="false">IF(OR(Registro!A322="",N(G322)=0),"",H322/G322)</f>
        <v/>
      </c>
    </row>
    <row r="323" customFormat="false" ht="15" hidden="false" customHeight="false" outlineLevel="0" collapsed="false">
      <c r="A323" s="5" t="str">
        <f aca="false">IF(Registro!A323="","",Registro!A323)</f>
        <v/>
      </c>
      <c r="B323" s="5" t="str">
        <f aca="false">IF(Registro!A323="","",Registro!B323)</f>
        <v/>
      </c>
      <c r="C323" s="5" t="str">
        <f aca="false">IF(Registro!A323="","",Registro!C323)</f>
        <v/>
      </c>
      <c r="D323" s="5" t="str">
        <f aca="false">IF(Registro!A323="","",Registro!E323)</f>
        <v/>
      </c>
      <c r="E323" s="5" t="str">
        <f aca="false">IF(Registro!A323="","",Registro!G323)</f>
        <v/>
      </c>
      <c r="F323" s="5" t="str">
        <f aca="false">IF(Registro!A323="","",Registro!D323)</f>
        <v/>
      </c>
      <c r="G323" s="5" t="str">
        <f aca="false">IF(Registro!A323="","",Registro!T323)</f>
        <v/>
      </c>
      <c r="H323" s="5" t="str">
        <f aca="false">IF(Registro!A323="","",IF(Registro!D323="Realizada",Registro!L323,0))</f>
        <v/>
      </c>
      <c r="I323" s="11" t="str">
        <f aca="false">IF(OR(Registro!A323="",N(G323)=0),"",H323/G323)</f>
        <v/>
      </c>
    </row>
    <row r="324" customFormat="false" ht="15" hidden="false" customHeight="false" outlineLevel="0" collapsed="false">
      <c r="A324" s="5" t="str">
        <f aca="false">IF(Registro!A324="","",Registro!A324)</f>
        <v/>
      </c>
      <c r="B324" s="5" t="str">
        <f aca="false">IF(Registro!A324="","",Registro!B324)</f>
        <v/>
      </c>
      <c r="C324" s="5" t="str">
        <f aca="false">IF(Registro!A324="","",Registro!C324)</f>
        <v/>
      </c>
      <c r="D324" s="5" t="str">
        <f aca="false">IF(Registro!A324="","",Registro!E324)</f>
        <v/>
      </c>
      <c r="E324" s="5" t="str">
        <f aca="false">IF(Registro!A324="","",Registro!G324)</f>
        <v/>
      </c>
      <c r="F324" s="5" t="str">
        <f aca="false">IF(Registro!A324="","",Registro!D324)</f>
        <v/>
      </c>
      <c r="G324" s="5" t="str">
        <f aca="false">IF(Registro!A324="","",Registro!T324)</f>
        <v/>
      </c>
      <c r="H324" s="5" t="str">
        <f aca="false">IF(Registro!A324="","",IF(Registro!D324="Realizada",Registro!L324,0))</f>
        <v/>
      </c>
      <c r="I324" s="11" t="str">
        <f aca="false">IF(OR(Registro!A324="",N(G324)=0),"",H324/G324)</f>
        <v/>
      </c>
    </row>
    <row r="325" customFormat="false" ht="15" hidden="false" customHeight="false" outlineLevel="0" collapsed="false">
      <c r="A325" s="5" t="str">
        <f aca="false">IF(Registro!A325="","",Registro!A325)</f>
        <v/>
      </c>
      <c r="B325" s="5" t="str">
        <f aca="false">IF(Registro!A325="","",Registro!B325)</f>
        <v/>
      </c>
      <c r="C325" s="5" t="str">
        <f aca="false">IF(Registro!A325="","",Registro!C325)</f>
        <v/>
      </c>
      <c r="D325" s="5" t="str">
        <f aca="false">IF(Registro!A325="","",Registro!E325)</f>
        <v/>
      </c>
      <c r="E325" s="5" t="str">
        <f aca="false">IF(Registro!A325="","",Registro!G325)</f>
        <v/>
      </c>
      <c r="F325" s="5" t="str">
        <f aca="false">IF(Registro!A325="","",Registro!D325)</f>
        <v/>
      </c>
      <c r="G325" s="5" t="str">
        <f aca="false">IF(Registro!A325="","",Registro!T325)</f>
        <v/>
      </c>
      <c r="H325" s="5" t="str">
        <f aca="false">IF(Registro!A325="","",IF(Registro!D325="Realizada",Registro!L325,0))</f>
        <v/>
      </c>
      <c r="I325" s="11" t="str">
        <f aca="false">IF(OR(Registro!A325="",N(G325)=0),"",H325/G325)</f>
        <v/>
      </c>
    </row>
    <row r="326" customFormat="false" ht="15" hidden="false" customHeight="false" outlineLevel="0" collapsed="false">
      <c r="A326" s="5" t="str">
        <f aca="false">IF(Registro!A326="","",Registro!A326)</f>
        <v/>
      </c>
      <c r="B326" s="5" t="str">
        <f aca="false">IF(Registro!A326="","",Registro!B326)</f>
        <v/>
      </c>
      <c r="C326" s="5" t="str">
        <f aca="false">IF(Registro!A326="","",Registro!C326)</f>
        <v/>
      </c>
      <c r="D326" s="5" t="str">
        <f aca="false">IF(Registro!A326="","",Registro!E326)</f>
        <v/>
      </c>
      <c r="E326" s="5" t="str">
        <f aca="false">IF(Registro!A326="","",Registro!G326)</f>
        <v/>
      </c>
      <c r="F326" s="5" t="str">
        <f aca="false">IF(Registro!A326="","",Registro!D326)</f>
        <v/>
      </c>
      <c r="G326" s="5" t="str">
        <f aca="false">IF(Registro!A326="","",Registro!T326)</f>
        <v/>
      </c>
      <c r="H326" s="5" t="str">
        <f aca="false">IF(Registro!A326="","",IF(Registro!D326="Realizada",Registro!L326,0))</f>
        <v/>
      </c>
      <c r="I326" s="11" t="str">
        <f aca="false">IF(OR(Registro!A326="",N(G326)=0),"",H326/G326)</f>
        <v/>
      </c>
    </row>
    <row r="327" customFormat="false" ht="15" hidden="false" customHeight="false" outlineLevel="0" collapsed="false">
      <c r="A327" s="5" t="str">
        <f aca="false">IF(Registro!A327="","",Registro!A327)</f>
        <v/>
      </c>
      <c r="B327" s="5" t="str">
        <f aca="false">IF(Registro!A327="","",Registro!B327)</f>
        <v/>
      </c>
      <c r="C327" s="5" t="str">
        <f aca="false">IF(Registro!A327="","",Registro!C327)</f>
        <v/>
      </c>
      <c r="D327" s="5" t="str">
        <f aca="false">IF(Registro!A327="","",Registro!E327)</f>
        <v/>
      </c>
      <c r="E327" s="5" t="str">
        <f aca="false">IF(Registro!A327="","",Registro!G327)</f>
        <v/>
      </c>
      <c r="F327" s="5" t="str">
        <f aca="false">IF(Registro!A327="","",Registro!D327)</f>
        <v/>
      </c>
      <c r="G327" s="5" t="str">
        <f aca="false">IF(Registro!A327="","",Registro!T327)</f>
        <v/>
      </c>
      <c r="H327" s="5" t="str">
        <f aca="false">IF(Registro!A327="","",IF(Registro!D327="Realizada",Registro!L327,0))</f>
        <v/>
      </c>
      <c r="I327" s="11" t="str">
        <f aca="false">IF(OR(Registro!A327="",N(G327)=0),"",H327/G327)</f>
        <v/>
      </c>
    </row>
    <row r="328" customFormat="false" ht="15" hidden="false" customHeight="false" outlineLevel="0" collapsed="false">
      <c r="A328" s="5" t="str">
        <f aca="false">IF(Registro!A328="","",Registro!A328)</f>
        <v/>
      </c>
      <c r="B328" s="5" t="str">
        <f aca="false">IF(Registro!A328="","",Registro!B328)</f>
        <v/>
      </c>
      <c r="C328" s="5" t="str">
        <f aca="false">IF(Registro!A328="","",Registro!C328)</f>
        <v/>
      </c>
      <c r="D328" s="5" t="str">
        <f aca="false">IF(Registro!A328="","",Registro!E328)</f>
        <v/>
      </c>
      <c r="E328" s="5" t="str">
        <f aca="false">IF(Registro!A328="","",Registro!G328)</f>
        <v/>
      </c>
      <c r="F328" s="5" t="str">
        <f aca="false">IF(Registro!A328="","",Registro!D328)</f>
        <v/>
      </c>
      <c r="G328" s="5" t="str">
        <f aca="false">IF(Registro!A328="","",Registro!T328)</f>
        <v/>
      </c>
      <c r="H328" s="5" t="str">
        <f aca="false">IF(Registro!A328="","",IF(Registro!D328="Realizada",Registro!L328,0))</f>
        <v/>
      </c>
      <c r="I328" s="11" t="str">
        <f aca="false">IF(OR(Registro!A328="",N(G328)=0),"",H328/G328)</f>
        <v/>
      </c>
    </row>
    <row r="329" customFormat="false" ht="15" hidden="false" customHeight="false" outlineLevel="0" collapsed="false">
      <c r="A329" s="5" t="str">
        <f aca="false">IF(Registro!A329="","",Registro!A329)</f>
        <v/>
      </c>
      <c r="B329" s="5" t="str">
        <f aca="false">IF(Registro!A329="","",Registro!B329)</f>
        <v/>
      </c>
      <c r="C329" s="5" t="str">
        <f aca="false">IF(Registro!A329="","",Registro!C329)</f>
        <v/>
      </c>
      <c r="D329" s="5" t="str">
        <f aca="false">IF(Registro!A329="","",Registro!E329)</f>
        <v/>
      </c>
      <c r="E329" s="5" t="str">
        <f aca="false">IF(Registro!A329="","",Registro!G329)</f>
        <v/>
      </c>
      <c r="F329" s="5" t="str">
        <f aca="false">IF(Registro!A329="","",Registro!D329)</f>
        <v/>
      </c>
      <c r="G329" s="5" t="str">
        <f aca="false">IF(Registro!A329="","",Registro!T329)</f>
        <v/>
      </c>
      <c r="H329" s="5" t="str">
        <f aca="false">IF(Registro!A329="","",IF(Registro!D329="Realizada",Registro!L329,0))</f>
        <v/>
      </c>
      <c r="I329" s="11" t="str">
        <f aca="false">IF(OR(Registro!A329="",N(G329)=0),"",H329/G329)</f>
        <v/>
      </c>
    </row>
    <row r="330" customFormat="false" ht="15" hidden="false" customHeight="false" outlineLevel="0" collapsed="false">
      <c r="A330" s="5" t="str">
        <f aca="false">IF(Registro!A330="","",Registro!A330)</f>
        <v/>
      </c>
      <c r="B330" s="5" t="str">
        <f aca="false">IF(Registro!A330="","",Registro!B330)</f>
        <v/>
      </c>
      <c r="C330" s="5" t="str">
        <f aca="false">IF(Registro!A330="","",Registro!C330)</f>
        <v/>
      </c>
      <c r="D330" s="5" t="str">
        <f aca="false">IF(Registro!A330="","",Registro!E330)</f>
        <v/>
      </c>
      <c r="E330" s="5" t="str">
        <f aca="false">IF(Registro!A330="","",Registro!G330)</f>
        <v/>
      </c>
      <c r="F330" s="5" t="str">
        <f aca="false">IF(Registro!A330="","",Registro!D330)</f>
        <v/>
      </c>
      <c r="G330" s="5" t="str">
        <f aca="false">IF(Registro!A330="","",Registro!T330)</f>
        <v/>
      </c>
      <c r="H330" s="5" t="str">
        <f aca="false">IF(Registro!A330="","",IF(Registro!D330="Realizada",Registro!L330,0))</f>
        <v/>
      </c>
      <c r="I330" s="11" t="str">
        <f aca="false">IF(OR(Registro!A330="",N(G330)=0),"",H330/G330)</f>
        <v/>
      </c>
    </row>
    <row r="331" customFormat="false" ht="15" hidden="false" customHeight="false" outlineLevel="0" collapsed="false">
      <c r="A331" s="5" t="str">
        <f aca="false">IF(Registro!A331="","",Registro!A331)</f>
        <v/>
      </c>
      <c r="B331" s="5" t="str">
        <f aca="false">IF(Registro!A331="","",Registro!B331)</f>
        <v/>
      </c>
      <c r="C331" s="5" t="str">
        <f aca="false">IF(Registro!A331="","",Registro!C331)</f>
        <v/>
      </c>
      <c r="D331" s="5" t="str">
        <f aca="false">IF(Registro!A331="","",Registro!E331)</f>
        <v/>
      </c>
      <c r="E331" s="5" t="str">
        <f aca="false">IF(Registro!A331="","",Registro!G331)</f>
        <v/>
      </c>
      <c r="F331" s="5" t="str">
        <f aca="false">IF(Registro!A331="","",Registro!D331)</f>
        <v/>
      </c>
      <c r="G331" s="5" t="str">
        <f aca="false">IF(Registro!A331="","",Registro!T331)</f>
        <v/>
      </c>
      <c r="H331" s="5" t="str">
        <f aca="false">IF(Registro!A331="","",IF(Registro!D331="Realizada",Registro!L331,0))</f>
        <v/>
      </c>
      <c r="I331" s="11" t="str">
        <f aca="false">IF(OR(Registro!A331="",N(G331)=0),"",H331/G331)</f>
        <v/>
      </c>
    </row>
    <row r="332" customFormat="false" ht="15" hidden="false" customHeight="false" outlineLevel="0" collapsed="false">
      <c r="A332" s="5" t="str">
        <f aca="false">IF(Registro!A332="","",Registro!A332)</f>
        <v/>
      </c>
      <c r="B332" s="5" t="str">
        <f aca="false">IF(Registro!A332="","",Registro!B332)</f>
        <v/>
      </c>
      <c r="C332" s="5" t="str">
        <f aca="false">IF(Registro!A332="","",Registro!C332)</f>
        <v/>
      </c>
      <c r="D332" s="5" t="str">
        <f aca="false">IF(Registro!A332="","",Registro!E332)</f>
        <v/>
      </c>
      <c r="E332" s="5" t="str">
        <f aca="false">IF(Registro!A332="","",Registro!G332)</f>
        <v/>
      </c>
      <c r="F332" s="5" t="str">
        <f aca="false">IF(Registro!A332="","",Registro!D332)</f>
        <v/>
      </c>
      <c r="G332" s="5" t="str">
        <f aca="false">IF(Registro!A332="","",Registro!T332)</f>
        <v/>
      </c>
      <c r="H332" s="5" t="str">
        <f aca="false">IF(Registro!A332="","",IF(Registro!D332="Realizada",Registro!L332,0))</f>
        <v/>
      </c>
      <c r="I332" s="11" t="str">
        <f aca="false">IF(OR(Registro!A332="",N(G332)=0),"",H332/G332)</f>
        <v/>
      </c>
    </row>
    <row r="333" customFormat="false" ht="15" hidden="false" customHeight="false" outlineLevel="0" collapsed="false">
      <c r="A333" s="5" t="str">
        <f aca="false">IF(Registro!A333="","",Registro!A333)</f>
        <v/>
      </c>
      <c r="B333" s="5" t="str">
        <f aca="false">IF(Registro!A333="","",Registro!B333)</f>
        <v/>
      </c>
      <c r="C333" s="5" t="str">
        <f aca="false">IF(Registro!A333="","",Registro!C333)</f>
        <v/>
      </c>
      <c r="D333" s="5" t="str">
        <f aca="false">IF(Registro!A333="","",Registro!E333)</f>
        <v/>
      </c>
      <c r="E333" s="5" t="str">
        <f aca="false">IF(Registro!A333="","",Registro!G333)</f>
        <v/>
      </c>
      <c r="F333" s="5" t="str">
        <f aca="false">IF(Registro!A333="","",Registro!D333)</f>
        <v/>
      </c>
      <c r="G333" s="5" t="str">
        <f aca="false">IF(Registro!A333="","",Registro!T333)</f>
        <v/>
      </c>
      <c r="H333" s="5" t="str">
        <f aca="false">IF(Registro!A333="","",IF(Registro!D333="Realizada",Registro!L333,0))</f>
        <v/>
      </c>
      <c r="I333" s="11" t="str">
        <f aca="false">IF(OR(Registro!A333="",N(G333)=0),"",H333/G333)</f>
        <v/>
      </c>
    </row>
    <row r="334" customFormat="false" ht="15" hidden="false" customHeight="false" outlineLevel="0" collapsed="false">
      <c r="A334" s="5" t="str">
        <f aca="false">IF(Registro!A334="","",Registro!A334)</f>
        <v/>
      </c>
      <c r="B334" s="5" t="str">
        <f aca="false">IF(Registro!A334="","",Registro!B334)</f>
        <v/>
      </c>
      <c r="C334" s="5" t="str">
        <f aca="false">IF(Registro!A334="","",Registro!C334)</f>
        <v/>
      </c>
      <c r="D334" s="5" t="str">
        <f aca="false">IF(Registro!A334="","",Registro!E334)</f>
        <v/>
      </c>
      <c r="E334" s="5" t="str">
        <f aca="false">IF(Registro!A334="","",Registro!G334)</f>
        <v/>
      </c>
      <c r="F334" s="5" t="str">
        <f aca="false">IF(Registro!A334="","",Registro!D334)</f>
        <v/>
      </c>
      <c r="G334" s="5" t="str">
        <f aca="false">IF(Registro!A334="","",Registro!T334)</f>
        <v/>
      </c>
      <c r="H334" s="5" t="str">
        <f aca="false">IF(Registro!A334="","",IF(Registro!D334="Realizada",Registro!L334,0))</f>
        <v/>
      </c>
      <c r="I334" s="11" t="str">
        <f aca="false">IF(OR(Registro!A334="",N(G334)=0),"",H334/G334)</f>
        <v/>
      </c>
    </row>
    <row r="335" customFormat="false" ht="15" hidden="false" customHeight="false" outlineLevel="0" collapsed="false">
      <c r="A335" s="5" t="str">
        <f aca="false">IF(Registro!A335="","",Registro!A335)</f>
        <v/>
      </c>
      <c r="B335" s="5" t="str">
        <f aca="false">IF(Registro!A335="","",Registro!B335)</f>
        <v/>
      </c>
      <c r="C335" s="5" t="str">
        <f aca="false">IF(Registro!A335="","",Registro!C335)</f>
        <v/>
      </c>
      <c r="D335" s="5" t="str">
        <f aca="false">IF(Registro!A335="","",Registro!E335)</f>
        <v/>
      </c>
      <c r="E335" s="5" t="str">
        <f aca="false">IF(Registro!A335="","",Registro!G335)</f>
        <v/>
      </c>
      <c r="F335" s="5" t="str">
        <f aca="false">IF(Registro!A335="","",Registro!D335)</f>
        <v/>
      </c>
      <c r="G335" s="5" t="str">
        <f aca="false">IF(Registro!A335="","",Registro!T335)</f>
        <v/>
      </c>
      <c r="H335" s="5" t="str">
        <f aca="false">IF(Registro!A335="","",IF(Registro!D335="Realizada",Registro!L335,0))</f>
        <v/>
      </c>
      <c r="I335" s="11" t="str">
        <f aca="false">IF(OR(Registro!A335="",N(G335)=0),"",H335/G335)</f>
        <v/>
      </c>
    </row>
    <row r="336" customFormat="false" ht="15" hidden="false" customHeight="false" outlineLevel="0" collapsed="false">
      <c r="A336" s="5" t="str">
        <f aca="false">IF(Registro!A336="","",Registro!A336)</f>
        <v/>
      </c>
      <c r="B336" s="5" t="str">
        <f aca="false">IF(Registro!A336="","",Registro!B336)</f>
        <v/>
      </c>
      <c r="C336" s="5" t="str">
        <f aca="false">IF(Registro!A336="","",Registro!C336)</f>
        <v/>
      </c>
      <c r="D336" s="5" t="str">
        <f aca="false">IF(Registro!A336="","",Registro!E336)</f>
        <v/>
      </c>
      <c r="E336" s="5" t="str">
        <f aca="false">IF(Registro!A336="","",Registro!G336)</f>
        <v/>
      </c>
      <c r="F336" s="5" t="str">
        <f aca="false">IF(Registro!A336="","",Registro!D336)</f>
        <v/>
      </c>
      <c r="G336" s="5" t="str">
        <f aca="false">IF(Registro!A336="","",Registro!T336)</f>
        <v/>
      </c>
      <c r="H336" s="5" t="str">
        <f aca="false">IF(Registro!A336="","",IF(Registro!D336="Realizada",Registro!L336,0))</f>
        <v/>
      </c>
      <c r="I336" s="11" t="str">
        <f aca="false">IF(OR(Registro!A336="",N(G336)=0),"",H336/G336)</f>
        <v/>
      </c>
    </row>
    <row r="337" customFormat="false" ht="15" hidden="false" customHeight="false" outlineLevel="0" collapsed="false">
      <c r="A337" s="5" t="str">
        <f aca="false">IF(Registro!A337="","",Registro!A337)</f>
        <v/>
      </c>
      <c r="B337" s="5" t="str">
        <f aca="false">IF(Registro!A337="","",Registro!B337)</f>
        <v/>
      </c>
      <c r="C337" s="5" t="str">
        <f aca="false">IF(Registro!A337="","",Registro!C337)</f>
        <v/>
      </c>
      <c r="D337" s="5" t="str">
        <f aca="false">IF(Registro!A337="","",Registro!E337)</f>
        <v/>
      </c>
      <c r="E337" s="5" t="str">
        <f aca="false">IF(Registro!A337="","",Registro!G337)</f>
        <v/>
      </c>
      <c r="F337" s="5" t="str">
        <f aca="false">IF(Registro!A337="","",Registro!D337)</f>
        <v/>
      </c>
      <c r="G337" s="5" t="str">
        <f aca="false">IF(Registro!A337="","",Registro!T337)</f>
        <v/>
      </c>
      <c r="H337" s="5" t="str">
        <f aca="false">IF(Registro!A337="","",IF(Registro!D337="Realizada",Registro!L337,0))</f>
        <v/>
      </c>
      <c r="I337" s="11" t="str">
        <f aca="false">IF(OR(Registro!A337="",N(G337)=0),"",H337/G337)</f>
        <v/>
      </c>
    </row>
    <row r="338" customFormat="false" ht="15" hidden="false" customHeight="false" outlineLevel="0" collapsed="false">
      <c r="A338" s="5" t="str">
        <f aca="false">IF(Registro!A338="","",Registro!A338)</f>
        <v/>
      </c>
      <c r="B338" s="5" t="str">
        <f aca="false">IF(Registro!A338="","",Registro!B338)</f>
        <v/>
      </c>
      <c r="C338" s="5" t="str">
        <f aca="false">IF(Registro!A338="","",Registro!C338)</f>
        <v/>
      </c>
      <c r="D338" s="5" t="str">
        <f aca="false">IF(Registro!A338="","",Registro!E338)</f>
        <v/>
      </c>
      <c r="E338" s="5" t="str">
        <f aca="false">IF(Registro!A338="","",Registro!G338)</f>
        <v/>
      </c>
      <c r="F338" s="5" t="str">
        <f aca="false">IF(Registro!A338="","",Registro!D338)</f>
        <v/>
      </c>
      <c r="G338" s="5" t="str">
        <f aca="false">IF(Registro!A338="","",Registro!T338)</f>
        <v/>
      </c>
      <c r="H338" s="5" t="str">
        <f aca="false">IF(Registro!A338="","",IF(Registro!D338="Realizada",Registro!L338,0))</f>
        <v/>
      </c>
      <c r="I338" s="11" t="str">
        <f aca="false">IF(OR(Registro!A338="",N(G338)=0),"",H338/G338)</f>
        <v/>
      </c>
    </row>
    <row r="339" customFormat="false" ht="15" hidden="false" customHeight="false" outlineLevel="0" collapsed="false">
      <c r="A339" s="5" t="str">
        <f aca="false">IF(Registro!A339="","",Registro!A339)</f>
        <v/>
      </c>
      <c r="B339" s="5" t="str">
        <f aca="false">IF(Registro!A339="","",Registro!B339)</f>
        <v/>
      </c>
      <c r="C339" s="5" t="str">
        <f aca="false">IF(Registro!A339="","",Registro!C339)</f>
        <v/>
      </c>
      <c r="D339" s="5" t="str">
        <f aca="false">IF(Registro!A339="","",Registro!E339)</f>
        <v/>
      </c>
      <c r="E339" s="5" t="str">
        <f aca="false">IF(Registro!A339="","",Registro!G339)</f>
        <v/>
      </c>
      <c r="F339" s="5" t="str">
        <f aca="false">IF(Registro!A339="","",Registro!D339)</f>
        <v/>
      </c>
      <c r="G339" s="5" t="str">
        <f aca="false">IF(Registro!A339="","",Registro!T339)</f>
        <v/>
      </c>
      <c r="H339" s="5" t="str">
        <f aca="false">IF(Registro!A339="","",IF(Registro!D339="Realizada",Registro!L339,0))</f>
        <v/>
      </c>
      <c r="I339" s="11" t="str">
        <f aca="false">IF(OR(Registro!A339="",N(G339)=0),"",H339/G339)</f>
        <v/>
      </c>
    </row>
    <row r="340" customFormat="false" ht="15" hidden="false" customHeight="false" outlineLevel="0" collapsed="false">
      <c r="A340" s="5" t="str">
        <f aca="false">IF(Registro!A340="","",Registro!A340)</f>
        <v/>
      </c>
      <c r="B340" s="5" t="str">
        <f aca="false">IF(Registro!A340="","",Registro!B340)</f>
        <v/>
      </c>
      <c r="C340" s="5" t="str">
        <f aca="false">IF(Registro!A340="","",Registro!C340)</f>
        <v/>
      </c>
      <c r="D340" s="5" t="str">
        <f aca="false">IF(Registro!A340="","",Registro!E340)</f>
        <v/>
      </c>
      <c r="E340" s="5" t="str">
        <f aca="false">IF(Registro!A340="","",Registro!G340)</f>
        <v/>
      </c>
      <c r="F340" s="5" t="str">
        <f aca="false">IF(Registro!A340="","",Registro!D340)</f>
        <v/>
      </c>
      <c r="G340" s="5" t="str">
        <f aca="false">IF(Registro!A340="","",Registro!T340)</f>
        <v/>
      </c>
      <c r="H340" s="5" t="str">
        <f aca="false">IF(Registro!A340="","",IF(Registro!D340="Realizada",Registro!L340,0))</f>
        <v/>
      </c>
      <c r="I340" s="11" t="str">
        <f aca="false">IF(OR(Registro!A340="",N(G340)=0),"",H340/G340)</f>
        <v/>
      </c>
    </row>
    <row r="341" customFormat="false" ht="15" hidden="false" customHeight="false" outlineLevel="0" collapsed="false">
      <c r="A341" s="5" t="str">
        <f aca="false">IF(Registro!A341="","",Registro!A341)</f>
        <v/>
      </c>
      <c r="B341" s="5" t="str">
        <f aca="false">IF(Registro!A341="","",Registro!B341)</f>
        <v/>
      </c>
      <c r="C341" s="5" t="str">
        <f aca="false">IF(Registro!A341="","",Registro!C341)</f>
        <v/>
      </c>
      <c r="D341" s="5" t="str">
        <f aca="false">IF(Registro!A341="","",Registro!E341)</f>
        <v/>
      </c>
      <c r="E341" s="5" t="str">
        <f aca="false">IF(Registro!A341="","",Registro!G341)</f>
        <v/>
      </c>
      <c r="F341" s="5" t="str">
        <f aca="false">IF(Registro!A341="","",Registro!D341)</f>
        <v/>
      </c>
      <c r="G341" s="5" t="str">
        <f aca="false">IF(Registro!A341="","",Registro!T341)</f>
        <v/>
      </c>
      <c r="H341" s="5" t="str">
        <f aca="false">IF(Registro!A341="","",IF(Registro!D341="Realizada",Registro!L341,0))</f>
        <v/>
      </c>
      <c r="I341" s="11" t="str">
        <f aca="false">IF(OR(Registro!A341="",N(G341)=0),"",H341/G341)</f>
        <v/>
      </c>
    </row>
    <row r="342" customFormat="false" ht="15" hidden="false" customHeight="false" outlineLevel="0" collapsed="false">
      <c r="A342" s="5" t="str">
        <f aca="false">IF(Registro!A342="","",Registro!A342)</f>
        <v/>
      </c>
      <c r="B342" s="5" t="str">
        <f aca="false">IF(Registro!A342="","",Registro!B342)</f>
        <v/>
      </c>
      <c r="C342" s="5" t="str">
        <f aca="false">IF(Registro!A342="","",Registro!C342)</f>
        <v/>
      </c>
      <c r="D342" s="5" t="str">
        <f aca="false">IF(Registro!A342="","",Registro!E342)</f>
        <v/>
      </c>
      <c r="E342" s="5" t="str">
        <f aca="false">IF(Registro!A342="","",Registro!G342)</f>
        <v/>
      </c>
      <c r="F342" s="5" t="str">
        <f aca="false">IF(Registro!A342="","",Registro!D342)</f>
        <v/>
      </c>
      <c r="G342" s="5" t="str">
        <f aca="false">IF(Registro!A342="","",Registro!T342)</f>
        <v/>
      </c>
      <c r="H342" s="5" t="str">
        <f aca="false">IF(Registro!A342="","",IF(Registro!D342="Realizada",Registro!L342,0))</f>
        <v/>
      </c>
      <c r="I342" s="11" t="str">
        <f aca="false">IF(OR(Registro!A342="",N(G342)=0),"",H342/G342)</f>
        <v/>
      </c>
    </row>
    <row r="343" customFormat="false" ht="15" hidden="false" customHeight="false" outlineLevel="0" collapsed="false">
      <c r="A343" s="5" t="str">
        <f aca="false">IF(Registro!A343="","",Registro!A343)</f>
        <v/>
      </c>
      <c r="B343" s="5" t="str">
        <f aca="false">IF(Registro!A343="","",Registro!B343)</f>
        <v/>
      </c>
      <c r="C343" s="5" t="str">
        <f aca="false">IF(Registro!A343="","",Registro!C343)</f>
        <v/>
      </c>
      <c r="D343" s="5" t="str">
        <f aca="false">IF(Registro!A343="","",Registro!E343)</f>
        <v/>
      </c>
      <c r="E343" s="5" t="str">
        <f aca="false">IF(Registro!A343="","",Registro!G343)</f>
        <v/>
      </c>
      <c r="F343" s="5" t="str">
        <f aca="false">IF(Registro!A343="","",Registro!D343)</f>
        <v/>
      </c>
      <c r="G343" s="5" t="str">
        <f aca="false">IF(Registro!A343="","",Registro!T343)</f>
        <v/>
      </c>
      <c r="H343" s="5" t="str">
        <f aca="false">IF(Registro!A343="","",IF(Registro!D343="Realizada",Registro!L343,0))</f>
        <v/>
      </c>
      <c r="I343" s="11" t="str">
        <f aca="false">IF(OR(Registro!A343="",N(G343)=0),"",H343/G343)</f>
        <v/>
      </c>
    </row>
    <row r="344" customFormat="false" ht="15" hidden="false" customHeight="false" outlineLevel="0" collapsed="false">
      <c r="A344" s="5" t="str">
        <f aca="false">IF(Registro!A344="","",Registro!A344)</f>
        <v/>
      </c>
      <c r="B344" s="5" t="str">
        <f aca="false">IF(Registro!A344="","",Registro!B344)</f>
        <v/>
      </c>
      <c r="C344" s="5" t="str">
        <f aca="false">IF(Registro!A344="","",Registro!C344)</f>
        <v/>
      </c>
      <c r="D344" s="5" t="str">
        <f aca="false">IF(Registro!A344="","",Registro!E344)</f>
        <v/>
      </c>
      <c r="E344" s="5" t="str">
        <f aca="false">IF(Registro!A344="","",Registro!G344)</f>
        <v/>
      </c>
      <c r="F344" s="5" t="str">
        <f aca="false">IF(Registro!A344="","",Registro!D344)</f>
        <v/>
      </c>
      <c r="G344" s="5" t="str">
        <f aca="false">IF(Registro!A344="","",Registro!T344)</f>
        <v/>
      </c>
      <c r="H344" s="5" t="str">
        <f aca="false">IF(Registro!A344="","",IF(Registro!D344="Realizada",Registro!L344,0))</f>
        <v/>
      </c>
      <c r="I344" s="11" t="str">
        <f aca="false">IF(OR(Registro!A344="",N(G344)=0),"",H344/G344)</f>
        <v/>
      </c>
    </row>
    <row r="345" customFormat="false" ht="15" hidden="false" customHeight="false" outlineLevel="0" collapsed="false">
      <c r="A345" s="5" t="str">
        <f aca="false">IF(Registro!A345="","",Registro!A345)</f>
        <v/>
      </c>
      <c r="B345" s="5" t="str">
        <f aca="false">IF(Registro!A345="","",Registro!B345)</f>
        <v/>
      </c>
      <c r="C345" s="5" t="str">
        <f aca="false">IF(Registro!A345="","",Registro!C345)</f>
        <v/>
      </c>
      <c r="D345" s="5" t="str">
        <f aca="false">IF(Registro!A345="","",Registro!E345)</f>
        <v/>
      </c>
      <c r="E345" s="5" t="str">
        <f aca="false">IF(Registro!A345="","",Registro!G345)</f>
        <v/>
      </c>
      <c r="F345" s="5" t="str">
        <f aca="false">IF(Registro!A345="","",Registro!D345)</f>
        <v/>
      </c>
      <c r="G345" s="5" t="str">
        <f aca="false">IF(Registro!A345="","",Registro!T345)</f>
        <v/>
      </c>
      <c r="H345" s="5" t="str">
        <f aca="false">IF(Registro!A345="","",IF(Registro!D345="Realizada",Registro!L345,0))</f>
        <v/>
      </c>
      <c r="I345" s="11" t="str">
        <f aca="false">IF(OR(Registro!A345="",N(G345)=0),"",H345/G345)</f>
        <v/>
      </c>
    </row>
    <row r="346" customFormat="false" ht="15" hidden="false" customHeight="false" outlineLevel="0" collapsed="false">
      <c r="A346" s="5" t="str">
        <f aca="false">IF(Registro!A346="","",Registro!A346)</f>
        <v/>
      </c>
      <c r="B346" s="5" t="str">
        <f aca="false">IF(Registro!A346="","",Registro!B346)</f>
        <v/>
      </c>
      <c r="C346" s="5" t="str">
        <f aca="false">IF(Registro!A346="","",Registro!C346)</f>
        <v/>
      </c>
      <c r="D346" s="5" t="str">
        <f aca="false">IF(Registro!A346="","",Registro!E346)</f>
        <v/>
      </c>
      <c r="E346" s="5" t="str">
        <f aca="false">IF(Registro!A346="","",Registro!G346)</f>
        <v/>
      </c>
      <c r="F346" s="5" t="str">
        <f aca="false">IF(Registro!A346="","",Registro!D346)</f>
        <v/>
      </c>
      <c r="G346" s="5" t="str">
        <f aca="false">IF(Registro!A346="","",Registro!T346)</f>
        <v/>
      </c>
      <c r="H346" s="5" t="str">
        <f aca="false">IF(Registro!A346="","",IF(Registro!D346="Realizada",Registro!L346,0))</f>
        <v/>
      </c>
      <c r="I346" s="11" t="str">
        <f aca="false">IF(OR(Registro!A346="",N(G346)=0),"",H346/G346)</f>
        <v/>
      </c>
    </row>
    <row r="347" customFormat="false" ht="15" hidden="false" customHeight="false" outlineLevel="0" collapsed="false">
      <c r="A347" s="5" t="str">
        <f aca="false">IF(Registro!A347="","",Registro!A347)</f>
        <v/>
      </c>
      <c r="B347" s="5" t="str">
        <f aca="false">IF(Registro!A347="","",Registro!B347)</f>
        <v/>
      </c>
      <c r="C347" s="5" t="str">
        <f aca="false">IF(Registro!A347="","",Registro!C347)</f>
        <v/>
      </c>
      <c r="D347" s="5" t="str">
        <f aca="false">IF(Registro!A347="","",Registro!E347)</f>
        <v/>
      </c>
      <c r="E347" s="5" t="str">
        <f aca="false">IF(Registro!A347="","",Registro!G347)</f>
        <v/>
      </c>
      <c r="F347" s="5" t="str">
        <f aca="false">IF(Registro!A347="","",Registro!D347)</f>
        <v/>
      </c>
      <c r="G347" s="5" t="str">
        <f aca="false">IF(Registro!A347="","",Registro!T347)</f>
        <v/>
      </c>
      <c r="H347" s="5" t="str">
        <f aca="false">IF(Registro!A347="","",IF(Registro!D347="Realizada",Registro!L347,0))</f>
        <v/>
      </c>
      <c r="I347" s="11" t="str">
        <f aca="false">IF(OR(Registro!A347="",N(G347)=0),"",H347/G347)</f>
        <v/>
      </c>
    </row>
    <row r="348" customFormat="false" ht="15" hidden="false" customHeight="false" outlineLevel="0" collapsed="false">
      <c r="A348" s="5" t="str">
        <f aca="false">IF(Registro!A348="","",Registro!A348)</f>
        <v/>
      </c>
      <c r="B348" s="5" t="str">
        <f aca="false">IF(Registro!A348="","",Registro!B348)</f>
        <v/>
      </c>
      <c r="C348" s="5" t="str">
        <f aca="false">IF(Registro!A348="","",Registro!C348)</f>
        <v/>
      </c>
      <c r="D348" s="5" t="str">
        <f aca="false">IF(Registro!A348="","",Registro!E348)</f>
        <v/>
      </c>
      <c r="E348" s="5" t="str">
        <f aca="false">IF(Registro!A348="","",Registro!G348)</f>
        <v/>
      </c>
      <c r="F348" s="5" t="str">
        <f aca="false">IF(Registro!A348="","",Registro!D348)</f>
        <v/>
      </c>
      <c r="G348" s="5" t="str">
        <f aca="false">IF(Registro!A348="","",Registro!T348)</f>
        <v/>
      </c>
      <c r="H348" s="5" t="str">
        <f aca="false">IF(Registro!A348="","",IF(Registro!D348="Realizada",Registro!L348,0))</f>
        <v/>
      </c>
      <c r="I348" s="11" t="str">
        <f aca="false">IF(OR(Registro!A348="",N(G348)=0),"",H348/G348)</f>
        <v/>
      </c>
    </row>
    <row r="349" customFormat="false" ht="15" hidden="false" customHeight="false" outlineLevel="0" collapsed="false">
      <c r="A349" s="5" t="str">
        <f aca="false">IF(Registro!A349="","",Registro!A349)</f>
        <v/>
      </c>
      <c r="B349" s="5" t="str">
        <f aca="false">IF(Registro!A349="","",Registro!B349)</f>
        <v/>
      </c>
      <c r="C349" s="5" t="str">
        <f aca="false">IF(Registro!A349="","",Registro!C349)</f>
        <v/>
      </c>
      <c r="D349" s="5" t="str">
        <f aca="false">IF(Registro!A349="","",Registro!E349)</f>
        <v/>
      </c>
      <c r="E349" s="5" t="str">
        <f aca="false">IF(Registro!A349="","",Registro!G349)</f>
        <v/>
      </c>
      <c r="F349" s="5" t="str">
        <f aca="false">IF(Registro!A349="","",Registro!D349)</f>
        <v/>
      </c>
      <c r="G349" s="5" t="str">
        <f aca="false">IF(Registro!A349="","",Registro!T349)</f>
        <v/>
      </c>
      <c r="H349" s="5" t="str">
        <f aca="false">IF(Registro!A349="","",IF(Registro!D349="Realizada",Registro!L349,0))</f>
        <v/>
      </c>
      <c r="I349" s="11" t="str">
        <f aca="false">IF(OR(Registro!A349="",N(G349)=0),"",H349/G349)</f>
        <v/>
      </c>
    </row>
    <row r="350" customFormat="false" ht="15" hidden="false" customHeight="false" outlineLevel="0" collapsed="false">
      <c r="A350" s="5" t="str">
        <f aca="false">IF(Registro!A350="","",Registro!A350)</f>
        <v/>
      </c>
      <c r="B350" s="5" t="str">
        <f aca="false">IF(Registro!A350="","",Registro!B350)</f>
        <v/>
      </c>
      <c r="C350" s="5" t="str">
        <f aca="false">IF(Registro!A350="","",Registro!C350)</f>
        <v/>
      </c>
      <c r="D350" s="5" t="str">
        <f aca="false">IF(Registro!A350="","",Registro!E350)</f>
        <v/>
      </c>
      <c r="E350" s="5" t="str">
        <f aca="false">IF(Registro!A350="","",Registro!G350)</f>
        <v/>
      </c>
      <c r="F350" s="5" t="str">
        <f aca="false">IF(Registro!A350="","",Registro!D350)</f>
        <v/>
      </c>
      <c r="G350" s="5" t="str">
        <f aca="false">IF(Registro!A350="","",Registro!T350)</f>
        <v/>
      </c>
      <c r="H350" s="5" t="str">
        <f aca="false">IF(Registro!A350="","",IF(Registro!D350="Realizada",Registro!L350,0))</f>
        <v/>
      </c>
      <c r="I350" s="11" t="str">
        <f aca="false">IF(OR(Registro!A350="",N(G350)=0),"",H350/G350)</f>
        <v/>
      </c>
    </row>
    <row r="351" customFormat="false" ht="15" hidden="false" customHeight="false" outlineLevel="0" collapsed="false">
      <c r="A351" s="5" t="str">
        <f aca="false">IF(Registro!A351="","",Registro!A351)</f>
        <v/>
      </c>
      <c r="B351" s="5" t="str">
        <f aca="false">IF(Registro!A351="","",Registro!B351)</f>
        <v/>
      </c>
      <c r="C351" s="5" t="str">
        <f aca="false">IF(Registro!A351="","",Registro!C351)</f>
        <v/>
      </c>
      <c r="D351" s="5" t="str">
        <f aca="false">IF(Registro!A351="","",Registro!E351)</f>
        <v/>
      </c>
      <c r="E351" s="5" t="str">
        <f aca="false">IF(Registro!A351="","",Registro!G351)</f>
        <v/>
      </c>
      <c r="F351" s="5" t="str">
        <f aca="false">IF(Registro!A351="","",Registro!D351)</f>
        <v/>
      </c>
      <c r="G351" s="5" t="str">
        <f aca="false">IF(Registro!A351="","",Registro!T351)</f>
        <v/>
      </c>
      <c r="H351" s="5" t="str">
        <f aca="false">IF(Registro!A351="","",IF(Registro!D351="Realizada",Registro!L351,0))</f>
        <v/>
      </c>
      <c r="I351" s="11" t="str">
        <f aca="false">IF(OR(Registro!A351="",N(G351)=0),"",H351/G351)</f>
        <v/>
      </c>
    </row>
    <row r="352" customFormat="false" ht="15" hidden="false" customHeight="false" outlineLevel="0" collapsed="false">
      <c r="A352" s="5" t="str">
        <f aca="false">IF(Registro!A352="","",Registro!A352)</f>
        <v/>
      </c>
      <c r="B352" s="5" t="str">
        <f aca="false">IF(Registro!A352="","",Registro!B352)</f>
        <v/>
      </c>
      <c r="C352" s="5" t="str">
        <f aca="false">IF(Registro!A352="","",Registro!C352)</f>
        <v/>
      </c>
      <c r="D352" s="5" t="str">
        <f aca="false">IF(Registro!A352="","",Registro!E352)</f>
        <v/>
      </c>
      <c r="E352" s="5" t="str">
        <f aca="false">IF(Registro!A352="","",Registro!G352)</f>
        <v/>
      </c>
      <c r="F352" s="5" t="str">
        <f aca="false">IF(Registro!A352="","",Registro!D352)</f>
        <v/>
      </c>
      <c r="G352" s="5" t="str">
        <f aca="false">IF(Registro!A352="","",Registro!T352)</f>
        <v/>
      </c>
      <c r="H352" s="5" t="str">
        <f aca="false">IF(Registro!A352="","",IF(Registro!D352="Realizada",Registro!L352,0))</f>
        <v/>
      </c>
      <c r="I352" s="11" t="str">
        <f aca="false">IF(OR(Registro!A352="",N(G352)=0),"",H352/G352)</f>
        <v/>
      </c>
    </row>
    <row r="353" customFormat="false" ht="15" hidden="false" customHeight="false" outlineLevel="0" collapsed="false">
      <c r="A353" s="5" t="str">
        <f aca="false">IF(Registro!A353="","",Registro!A353)</f>
        <v/>
      </c>
      <c r="B353" s="5" t="str">
        <f aca="false">IF(Registro!A353="","",Registro!B353)</f>
        <v/>
      </c>
      <c r="C353" s="5" t="str">
        <f aca="false">IF(Registro!A353="","",Registro!C353)</f>
        <v/>
      </c>
      <c r="D353" s="5" t="str">
        <f aca="false">IF(Registro!A353="","",Registro!E353)</f>
        <v/>
      </c>
      <c r="E353" s="5" t="str">
        <f aca="false">IF(Registro!A353="","",Registro!G353)</f>
        <v/>
      </c>
      <c r="F353" s="5" t="str">
        <f aca="false">IF(Registro!A353="","",Registro!D353)</f>
        <v/>
      </c>
      <c r="G353" s="5" t="str">
        <f aca="false">IF(Registro!A353="","",Registro!T353)</f>
        <v/>
      </c>
      <c r="H353" s="5" t="str">
        <f aca="false">IF(Registro!A353="","",IF(Registro!D353="Realizada",Registro!L353,0))</f>
        <v/>
      </c>
      <c r="I353" s="11" t="str">
        <f aca="false">IF(OR(Registro!A353="",N(G353)=0),"",H353/G353)</f>
        <v/>
      </c>
    </row>
    <row r="354" customFormat="false" ht="15" hidden="false" customHeight="false" outlineLevel="0" collapsed="false">
      <c r="A354" s="5" t="str">
        <f aca="false">IF(Registro!A354="","",Registro!A354)</f>
        <v/>
      </c>
      <c r="B354" s="5" t="str">
        <f aca="false">IF(Registro!A354="","",Registro!B354)</f>
        <v/>
      </c>
      <c r="C354" s="5" t="str">
        <f aca="false">IF(Registro!A354="","",Registro!C354)</f>
        <v/>
      </c>
      <c r="D354" s="5" t="str">
        <f aca="false">IF(Registro!A354="","",Registro!E354)</f>
        <v/>
      </c>
      <c r="E354" s="5" t="str">
        <f aca="false">IF(Registro!A354="","",Registro!G354)</f>
        <v/>
      </c>
      <c r="F354" s="5" t="str">
        <f aca="false">IF(Registro!A354="","",Registro!D354)</f>
        <v/>
      </c>
      <c r="G354" s="5" t="str">
        <f aca="false">IF(Registro!A354="","",Registro!T354)</f>
        <v/>
      </c>
      <c r="H354" s="5" t="str">
        <f aca="false">IF(Registro!A354="","",IF(Registro!D354="Realizada",Registro!L354,0))</f>
        <v/>
      </c>
      <c r="I354" s="11" t="str">
        <f aca="false">IF(OR(Registro!A354="",N(G354)=0),"",H354/G354)</f>
        <v/>
      </c>
    </row>
    <row r="355" customFormat="false" ht="15" hidden="false" customHeight="false" outlineLevel="0" collapsed="false">
      <c r="A355" s="5" t="str">
        <f aca="false">IF(Registro!A355="","",Registro!A355)</f>
        <v/>
      </c>
      <c r="B355" s="5" t="str">
        <f aca="false">IF(Registro!A355="","",Registro!B355)</f>
        <v/>
      </c>
      <c r="C355" s="5" t="str">
        <f aca="false">IF(Registro!A355="","",Registro!C355)</f>
        <v/>
      </c>
      <c r="D355" s="5" t="str">
        <f aca="false">IF(Registro!A355="","",Registro!E355)</f>
        <v/>
      </c>
      <c r="E355" s="5" t="str">
        <f aca="false">IF(Registro!A355="","",Registro!G355)</f>
        <v/>
      </c>
      <c r="F355" s="5" t="str">
        <f aca="false">IF(Registro!A355="","",Registro!D355)</f>
        <v/>
      </c>
      <c r="G355" s="5" t="str">
        <f aca="false">IF(Registro!A355="","",Registro!T355)</f>
        <v/>
      </c>
      <c r="H355" s="5" t="str">
        <f aca="false">IF(Registro!A355="","",IF(Registro!D355="Realizada",Registro!L355,0))</f>
        <v/>
      </c>
      <c r="I355" s="11" t="str">
        <f aca="false">IF(OR(Registro!A355="",N(G355)=0),"",H355/G355)</f>
        <v/>
      </c>
    </row>
    <row r="356" customFormat="false" ht="15" hidden="false" customHeight="false" outlineLevel="0" collapsed="false">
      <c r="A356" s="5" t="str">
        <f aca="false">IF(Registro!A356="","",Registro!A356)</f>
        <v/>
      </c>
      <c r="B356" s="5" t="str">
        <f aca="false">IF(Registro!A356="","",Registro!B356)</f>
        <v/>
      </c>
      <c r="C356" s="5" t="str">
        <f aca="false">IF(Registro!A356="","",Registro!C356)</f>
        <v/>
      </c>
      <c r="D356" s="5" t="str">
        <f aca="false">IF(Registro!A356="","",Registro!E356)</f>
        <v/>
      </c>
      <c r="E356" s="5" t="str">
        <f aca="false">IF(Registro!A356="","",Registro!G356)</f>
        <v/>
      </c>
      <c r="F356" s="5" t="str">
        <f aca="false">IF(Registro!A356="","",Registro!D356)</f>
        <v/>
      </c>
      <c r="G356" s="5" t="str">
        <f aca="false">IF(Registro!A356="","",Registro!T356)</f>
        <v/>
      </c>
      <c r="H356" s="5" t="str">
        <f aca="false">IF(Registro!A356="","",IF(Registro!D356="Realizada",Registro!L356,0))</f>
        <v/>
      </c>
      <c r="I356" s="11" t="str">
        <f aca="false">IF(OR(Registro!A356="",N(G356)=0),"",H356/G356)</f>
        <v/>
      </c>
    </row>
    <row r="357" customFormat="false" ht="15" hidden="false" customHeight="false" outlineLevel="0" collapsed="false">
      <c r="A357" s="5" t="str">
        <f aca="false">IF(Registro!A357="","",Registro!A357)</f>
        <v/>
      </c>
      <c r="B357" s="5" t="str">
        <f aca="false">IF(Registro!A357="","",Registro!B357)</f>
        <v/>
      </c>
      <c r="C357" s="5" t="str">
        <f aca="false">IF(Registro!A357="","",Registro!C357)</f>
        <v/>
      </c>
      <c r="D357" s="5" t="str">
        <f aca="false">IF(Registro!A357="","",Registro!E357)</f>
        <v/>
      </c>
      <c r="E357" s="5" t="str">
        <f aca="false">IF(Registro!A357="","",Registro!G357)</f>
        <v/>
      </c>
      <c r="F357" s="5" t="str">
        <f aca="false">IF(Registro!A357="","",Registro!D357)</f>
        <v/>
      </c>
      <c r="G357" s="5" t="str">
        <f aca="false">IF(Registro!A357="","",Registro!T357)</f>
        <v/>
      </c>
      <c r="H357" s="5" t="str">
        <f aca="false">IF(Registro!A357="","",IF(Registro!D357="Realizada",Registro!L357,0))</f>
        <v/>
      </c>
      <c r="I357" s="11" t="str">
        <f aca="false">IF(OR(Registro!A357="",N(G357)=0),"",H357/G357)</f>
        <v/>
      </c>
    </row>
    <row r="358" customFormat="false" ht="15" hidden="false" customHeight="false" outlineLevel="0" collapsed="false">
      <c r="A358" s="5" t="str">
        <f aca="false">IF(Registro!A358="","",Registro!A358)</f>
        <v/>
      </c>
      <c r="B358" s="5" t="str">
        <f aca="false">IF(Registro!A358="","",Registro!B358)</f>
        <v/>
      </c>
      <c r="C358" s="5" t="str">
        <f aca="false">IF(Registro!A358="","",Registro!C358)</f>
        <v/>
      </c>
      <c r="D358" s="5" t="str">
        <f aca="false">IF(Registro!A358="","",Registro!E358)</f>
        <v/>
      </c>
      <c r="E358" s="5" t="str">
        <f aca="false">IF(Registro!A358="","",Registro!G358)</f>
        <v/>
      </c>
      <c r="F358" s="5" t="str">
        <f aca="false">IF(Registro!A358="","",Registro!D358)</f>
        <v/>
      </c>
      <c r="G358" s="5" t="str">
        <f aca="false">IF(Registro!A358="","",Registro!T358)</f>
        <v/>
      </c>
      <c r="H358" s="5" t="str">
        <f aca="false">IF(Registro!A358="","",IF(Registro!D358="Realizada",Registro!L358,0))</f>
        <v/>
      </c>
      <c r="I358" s="11" t="str">
        <f aca="false">IF(OR(Registro!A358="",N(G358)=0),"",H358/G358)</f>
        <v/>
      </c>
    </row>
    <row r="359" customFormat="false" ht="15" hidden="false" customHeight="false" outlineLevel="0" collapsed="false">
      <c r="A359" s="5" t="str">
        <f aca="false">IF(Registro!A359="","",Registro!A359)</f>
        <v/>
      </c>
      <c r="B359" s="5" t="str">
        <f aca="false">IF(Registro!A359="","",Registro!B359)</f>
        <v/>
      </c>
      <c r="C359" s="5" t="str">
        <f aca="false">IF(Registro!A359="","",Registro!C359)</f>
        <v/>
      </c>
      <c r="D359" s="5" t="str">
        <f aca="false">IF(Registro!A359="","",Registro!E359)</f>
        <v/>
      </c>
      <c r="E359" s="5" t="str">
        <f aca="false">IF(Registro!A359="","",Registro!G359)</f>
        <v/>
      </c>
      <c r="F359" s="5" t="str">
        <f aca="false">IF(Registro!A359="","",Registro!D359)</f>
        <v/>
      </c>
      <c r="G359" s="5" t="str">
        <f aca="false">IF(Registro!A359="","",Registro!T359)</f>
        <v/>
      </c>
      <c r="H359" s="5" t="str">
        <f aca="false">IF(Registro!A359="","",IF(Registro!D359="Realizada",Registro!L359,0))</f>
        <v/>
      </c>
      <c r="I359" s="11" t="str">
        <f aca="false">IF(OR(Registro!A359="",N(G359)=0),"",H359/G359)</f>
        <v/>
      </c>
    </row>
    <row r="360" customFormat="false" ht="15" hidden="false" customHeight="false" outlineLevel="0" collapsed="false">
      <c r="A360" s="5" t="str">
        <f aca="false">IF(Registro!A360="","",Registro!A360)</f>
        <v/>
      </c>
      <c r="B360" s="5" t="str">
        <f aca="false">IF(Registro!A360="","",Registro!B360)</f>
        <v/>
      </c>
      <c r="C360" s="5" t="str">
        <f aca="false">IF(Registro!A360="","",Registro!C360)</f>
        <v/>
      </c>
      <c r="D360" s="5" t="str">
        <f aca="false">IF(Registro!A360="","",Registro!E360)</f>
        <v/>
      </c>
      <c r="E360" s="5" t="str">
        <f aca="false">IF(Registro!A360="","",Registro!G360)</f>
        <v/>
      </c>
      <c r="F360" s="5" t="str">
        <f aca="false">IF(Registro!A360="","",Registro!D360)</f>
        <v/>
      </c>
      <c r="G360" s="5" t="str">
        <f aca="false">IF(Registro!A360="","",Registro!T360)</f>
        <v/>
      </c>
      <c r="H360" s="5" t="str">
        <f aca="false">IF(Registro!A360="","",IF(Registro!D360="Realizada",Registro!L360,0))</f>
        <v/>
      </c>
      <c r="I360" s="11" t="str">
        <f aca="false">IF(OR(Registro!A360="",N(G360)=0),"",H360/G360)</f>
        <v/>
      </c>
    </row>
    <row r="361" customFormat="false" ht="15" hidden="false" customHeight="false" outlineLevel="0" collapsed="false">
      <c r="A361" s="5" t="str">
        <f aca="false">IF(Registro!A361="","",Registro!A361)</f>
        <v/>
      </c>
      <c r="B361" s="5" t="str">
        <f aca="false">IF(Registro!A361="","",Registro!B361)</f>
        <v/>
      </c>
      <c r="C361" s="5" t="str">
        <f aca="false">IF(Registro!A361="","",Registro!C361)</f>
        <v/>
      </c>
      <c r="D361" s="5" t="str">
        <f aca="false">IF(Registro!A361="","",Registro!E361)</f>
        <v/>
      </c>
      <c r="E361" s="5" t="str">
        <f aca="false">IF(Registro!A361="","",Registro!G361)</f>
        <v/>
      </c>
      <c r="F361" s="5" t="str">
        <f aca="false">IF(Registro!A361="","",Registro!D361)</f>
        <v/>
      </c>
      <c r="G361" s="5" t="str">
        <f aca="false">IF(Registro!A361="","",Registro!T361)</f>
        <v/>
      </c>
      <c r="H361" s="5" t="str">
        <f aca="false">IF(Registro!A361="","",IF(Registro!D361="Realizada",Registro!L361,0))</f>
        <v/>
      </c>
      <c r="I361" s="11" t="str">
        <f aca="false">IF(OR(Registro!A361="",N(G361)=0),"",H361/G361)</f>
        <v/>
      </c>
    </row>
    <row r="362" customFormat="false" ht="15" hidden="false" customHeight="false" outlineLevel="0" collapsed="false">
      <c r="A362" s="5" t="str">
        <f aca="false">IF(Registro!A362="","",Registro!A362)</f>
        <v/>
      </c>
      <c r="B362" s="5" t="str">
        <f aca="false">IF(Registro!A362="","",Registro!B362)</f>
        <v/>
      </c>
      <c r="C362" s="5" t="str">
        <f aca="false">IF(Registro!A362="","",Registro!C362)</f>
        <v/>
      </c>
      <c r="D362" s="5" t="str">
        <f aca="false">IF(Registro!A362="","",Registro!E362)</f>
        <v/>
      </c>
      <c r="E362" s="5" t="str">
        <f aca="false">IF(Registro!A362="","",Registro!G362)</f>
        <v/>
      </c>
      <c r="F362" s="5" t="str">
        <f aca="false">IF(Registro!A362="","",Registro!D362)</f>
        <v/>
      </c>
      <c r="G362" s="5" t="str">
        <f aca="false">IF(Registro!A362="","",Registro!T362)</f>
        <v/>
      </c>
      <c r="H362" s="5" t="str">
        <f aca="false">IF(Registro!A362="","",IF(Registro!D362="Realizada",Registro!L362,0))</f>
        <v/>
      </c>
      <c r="I362" s="11" t="str">
        <f aca="false">IF(OR(Registro!A362="",N(G362)=0),"",H362/G362)</f>
        <v/>
      </c>
    </row>
    <row r="363" customFormat="false" ht="15" hidden="false" customHeight="false" outlineLevel="0" collapsed="false">
      <c r="A363" s="5" t="str">
        <f aca="false">IF(Registro!A363="","",Registro!A363)</f>
        <v/>
      </c>
      <c r="B363" s="5" t="str">
        <f aca="false">IF(Registro!A363="","",Registro!B363)</f>
        <v/>
      </c>
      <c r="C363" s="5" t="str">
        <f aca="false">IF(Registro!A363="","",Registro!C363)</f>
        <v/>
      </c>
      <c r="D363" s="5" t="str">
        <f aca="false">IF(Registro!A363="","",Registro!E363)</f>
        <v/>
      </c>
      <c r="E363" s="5" t="str">
        <f aca="false">IF(Registro!A363="","",Registro!G363)</f>
        <v/>
      </c>
      <c r="F363" s="5" t="str">
        <f aca="false">IF(Registro!A363="","",Registro!D363)</f>
        <v/>
      </c>
      <c r="G363" s="5" t="str">
        <f aca="false">IF(Registro!A363="","",Registro!T363)</f>
        <v/>
      </c>
      <c r="H363" s="5" t="str">
        <f aca="false">IF(Registro!A363="","",IF(Registro!D363="Realizada",Registro!L363,0))</f>
        <v/>
      </c>
      <c r="I363" s="11" t="str">
        <f aca="false">IF(OR(Registro!A363="",N(G363)=0),"",H363/G363)</f>
        <v/>
      </c>
    </row>
    <row r="364" customFormat="false" ht="15" hidden="false" customHeight="false" outlineLevel="0" collapsed="false">
      <c r="A364" s="5" t="str">
        <f aca="false">IF(Registro!A364="","",Registro!A364)</f>
        <v/>
      </c>
      <c r="B364" s="5" t="str">
        <f aca="false">IF(Registro!A364="","",Registro!B364)</f>
        <v/>
      </c>
      <c r="C364" s="5" t="str">
        <f aca="false">IF(Registro!A364="","",Registro!C364)</f>
        <v/>
      </c>
      <c r="D364" s="5" t="str">
        <f aca="false">IF(Registro!A364="","",Registro!E364)</f>
        <v/>
      </c>
      <c r="E364" s="5" t="str">
        <f aca="false">IF(Registro!A364="","",Registro!G364)</f>
        <v/>
      </c>
      <c r="F364" s="5" t="str">
        <f aca="false">IF(Registro!A364="","",Registro!D364)</f>
        <v/>
      </c>
      <c r="G364" s="5" t="str">
        <f aca="false">IF(Registro!A364="","",Registro!T364)</f>
        <v/>
      </c>
      <c r="H364" s="5" t="str">
        <f aca="false">IF(Registro!A364="","",IF(Registro!D364="Realizada",Registro!L364,0))</f>
        <v/>
      </c>
      <c r="I364" s="11" t="str">
        <f aca="false">IF(OR(Registro!A364="",N(G364)=0),"",H364/G364)</f>
        <v/>
      </c>
    </row>
    <row r="365" customFormat="false" ht="15" hidden="false" customHeight="false" outlineLevel="0" collapsed="false">
      <c r="A365" s="5" t="str">
        <f aca="false">IF(Registro!A365="","",Registro!A365)</f>
        <v/>
      </c>
      <c r="B365" s="5" t="str">
        <f aca="false">IF(Registro!A365="","",Registro!B365)</f>
        <v/>
      </c>
      <c r="C365" s="5" t="str">
        <f aca="false">IF(Registro!A365="","",Registro!C365)</f>
        <v/>
      </c>
      <c r="D365" s="5" t="str">
        <f aca="false">IF(Registro!A365="","",Registro!E365)</f>
        <v/>
      </c>
      <c r="E365" s="5" t="str">
        <f aca="false">IF(Registro!A365="","",Registro!G365)</f>
        <v/>
      </c>
      <c r="F365" s="5" t="str">
        <f aca="false">IF(Registro!A365="","",Registro!D365)</f>
        <v/>
      </c>
      <c r="G365" s="5" t="str">
        <f aca="false">IF(Registro!A365="","",Registro!T365)</f>
        <v/>
      </c>
      <c r="H365" s="5" t="str">
        <f aca="false">IF(Registro!A365="","",IF(Registro!D365="Realizada",Registro!L365,0))</f>
        <v/>
      </c>
      <c r="I365" s="11" t="str">
        <f aca="false">IF(OR(Registro!A365="",N(G365)=0),"",H365/G365)</f>
        <v/>
      </c>
    </row>
    <row r="366" customFormat="false" ht="15" hidden="false" customHeight="false" outlineLevel="0" collapsed="false">
      <c r="A366" s="5" t="str">
        <f aca="false">IF(Registro!A366="","",Registro!A366)</f>
        <v/>
      </c>
      <c r="B366" s="5" t="str">
        <f aca="false">IF(Registro!A366="","",Registro!B366)</f>
        <v/>
      </c>
      <c r="C366" s="5" t="str">
        <f aca="false">IF(Registro!A366="","",Registro!C366)</f>
        <v/>
      </c>
      <c r="D366" s="5" t="str">
        <f aca="false">IF(Registro!A366="","",Registro!E366)</f>
        <v/>
      </c>
      <c r="E366" s="5" t="str">
        <f aca="false">IF(Registro!A366="","",Registro!G366)</f>
        <v/>
      </c>
      <c r="F366" s="5" t="str">
        <f aca="false">IF(Registro!A366="","",Registro!D366)</f>
        <v/>
      </c>
      <c r="G366" s="5" t="str">
        <f aca="false">IF(Registro!A366="","",Registro!T366)</f>
        <v/>
      </c>
      <c r="H366" s="5" t="str">
        <f aca="false">IF(Registro!A366="","",IF(Registro!D366="Realizada",Registro!L366,0))</f>
        <v/>
      </c>
      <c r="I366" s="11" t="str">
        <f aca="false">IF(OR(Registro!A366="",N(G366)=0),"",H366/G366)</f>
        <v/>
      </c>
    </row>
    <row r="367" customFormat="false" ht="15" hidden="false" customHeight="false" outlineLevel="0" collapsed="false">
      <c r="A367" s="5" t="str">
        <f aca="false">IF(Registro!A367="","",Registro!A367)</f>
        <v/>
      </c>
      <c r="B367" s="5" t="str">
        <f aca="false">IF(Registro!A367="","",Registro!B367)</f>
        <v/>
      </c>
      <c r="C367" s="5" t="str">
        <f aca="false">IF(Registro!A367="","",Registro!C367)</f>
        <v/>
      </c>
      <c r="D367" s="5" t="str">
        <f aca="false">IF(Registro!A367="","",Registro!E367)</f>
        <v/>
      </c>
      <c r="E367" s="5" t="str">
        <f aca="false">IF(Registro!A367="","",Registro!G367)</f>
        <v/>
      </c>
      <c r="F367" s="5" t="str">
        <f aca="false">IF(Registro!A367="","",Registro!D367)</f>
        <v/>
      </c>
      <c r="G367" s="5" t="str">
        <f aca="false">IF(Registro!A367="","",Registro!T367)</f>
        <v/>
      </c>
      <c r="H367" s="5" t="str">
        <f aca="false">IF(Registro!A367="","",IF(Registro!D367="Realizada",Registro!L367,0))</f>
        <v/>
      </c>
      <c r="I367" s="11" t="str">
        <f aca="false">IF(OR(Registro!A367="",N(G367)=0),"",H367/G367)</f>
        <v/>
      </c>
    </row>
    <row r="368" customFormat="false" ht="15" hidden="false" customHeight="false" outlineLevel="0" collapsed="false">
      <c r="A368" s="5" t="str">
        <f aca="false">IF(Registro!A368="","",Registro!A368)</f>
        <v/>
      </c>
      <c r="B368" s="5" t="str">
        <f aca="false">IF(Registro!A368="","",Registro!B368)</f>
        <v/>
      </c>
      <c r="C368" s="5" t="str">
        <f aca="false">IF(Registro!A368="","",Registro!C368)</f>
        <v/>
      </c>
      <c r="D368" s="5" t="str">
        <f aca="false">IF(Registro!A368="","",Registro!E368)</f>
        <v/>
      </c>
      <c r="E368" s="5" t="str">
        <f aca="false">IF(Registro!A368="","",Registro!G368)</f>
        <v/>
      </c>
      <c r="F368" s="5" t="str">
        <f aca="false">IF(Registro!A368="","",Registro!D368)</f>
        <v/>
      </c>
      <c r="G368" s="5" t="str">
        <f aca="false">IF(Registro!A368="","",Registro!T368)</f>
        <v/>
      </c>
      <c r="H368" s="5" t="str">
        <f aca="false">IF(Registro!A368="","",IF(Registro!D368="Realizada",Registro!L368,0))</f>
        <v/>
      </c>
      <c r="I368" s="11" t="str">
        <f aca="false">IF(OR(Registro!A368="",N(G368)=0),"",H368/G368)</f>
        <v/>
      </c>
    </row>
    <row r="369" customFormat="false" ht="15" hidden="false" customHeight="false" outlineLevel="0" collapsed="false">
      <c r="A369" s="5" t="str">
        <f aca="false">IF(Registro!A369="","",Registro!A369)</f>
        <v/>
      </c>
      <c r="B369" s="5" t="str">
        <f aca="false">IF(Registro!A369="","",Registro!B369)</f>
        <v/>
      </c>
      <c r="C369" s="5" t="str">
        <f aca="false">IF(Registro!A369="","",Registro!C369)</f>
        <v/>
      </c>
      <c r="D369" s="5" t="str">
        <f aca="false">IF(Registro!A369="","",Registro!E369)</f>
        <v/>
      </c>
      <c r="E369" s="5" t="str">
        <f aca="false">IF(Registro!A369="","",Registro!G369)</f>
        <v/>
      </c>
      <c r="F369" s="5" t="str">
        <f aca="false">IF(Registro!A369="","",Registro!D369)</f>
        <v/>
      </c>
      <c r="G369" s="5" t="str">
        <f aca="false">IF(Registro!A369="","",Registro!T369)</f>
        <v/>
      </c>
      <c r="H369" s="5" t="str">
        <f aca="false">IF(Registro!A369="","",IF(Registro!D369="Realizada",Registro!L369,0))</f>
        <v/>
      </c>
      <c r="I369" s="11" t="str">
        <f aca="false">IF(OR(Registro!A369="",N(G369)=0),"",H369/G369)</f>
        <v/>
      </c>
    </row>
    <row r="370" customFormat="false" ht="15" hidden="false" customHeight="false" outlineLevel="0" collapsed="false">
      <c r="A370" s="5" t="str">
        <f aca="false">IF(Registro!A370="","",Registro!A370)</f>
        <v/>
      </c>
      <c r="B370" s="5" t="str">
        <f aca="false">IF(Registro!A370="","",Registro!B370)</f>
        <v/>
      </c>
      <c r="C370" s="5" t="str">
        <f aca="false">IF(Registro!A370="","",Registro!C370)</f>
        <v/>
      </c>
      <c r="D370" s="5" t="str">
        <f aca="false">IF(Registro!A370="","",Registro!E370)</f>
        <v/>
      </c>
      <c r="E370" s="5" t="str">
        <f aca="false">IF(Registro!A370="","",Registro!G370)</f>
        <v/>
      </c>
      <c r="F370" s="5" t="str">
        <f aca="false">IF(Registro!A370="","",Registro!D370)</f>
        <v/>
      </c>
      <c r="G370" s="5" t="str">
        <f aca="false">IF(Registro!A370="","",Registro!T370)</f>
        <v/>
      </c>
      <c r="H370" s="5" t="str">
        <f aca="false">IF(Registro!A370="","",IF(Registro!D370="Realizada",Registro!L370,0))</f>
        <v/>
      </c>
      <c r="I370" s="11" t="str">
        <f aca="false">IF(OR(Registro!A370="",N(G370)=0),"",H370/G370)</f>
        <v/>
      </c>
    </row>
    <row r="371" customFormat="false" ht="15" hidden="false" customHeight="false" outlineLevel="0" collapsed="false">
      <c r="A371" s="5" t="str">
        <f aca="false">IF(Registro!A371="","",Registro!A371)</f>
        <v/>
      </c>
      <c r="B371" s="5" t="str">
        <f aca="false">IF(Registro!A371="","",Registro!B371)</f>
        <v/>
      </c>
      <c r="C371" s="5" t="str">
        <f aca="false">IF(Registro!A371="","",Registro!C371)</f>
        <v/>
      </c>
      <c r="D371" s="5" t="str">
        <f aca="false">IF(Registro!A371="","",Registro!E371)</f>
        <v/>
      </c>
      <c r="E371" s="5" t="str">
        <f aca="false">IF(Registro!A371="","",Registro!G371)</f>
        <v/>
      </c>
      <c r="F371" s="5" t="str">
        <f aca="false">IF(Registro!A371="","",Registro!D371)</f>
        <v/>
      </c>
      <c r="G371" s="5" t="str">
        <f aca="false">IF(Registro!A371="","",Registro!T371)</f>
        <v/>
      </c>
      <c r="H371" s="5" t="str">
        <f aca="false">IF(Registro!A371="","",IF(Registro!D371="Realizada",Registro!L371,0))</f>
        <v/>
      </c>
      <c r="I371" s="11" t="str">
        <f aca="false">IF(OR(Registro!A371="",N(G371)=0),"",H371/G371)</f>
        <v/>
      </c>
    </row>
    <row r="372" customFormat="false" ht="15" hidden="false" customHeight="false" outlineLevel="0" collapsed="false">
      <c r="A372" s="5" t="str">
        <f aca="false">IF(Registro!A372="","",Registro!A372)</f>
        <v/>
      </c>
      <c r="B372" s="5" t="str">
        <f aca="false">IF(Registro!A372="","",Registro!B372)</f>
        <v/>
      </c>
      <c r="C372" s="5" t="str">
        <f aca="false">IF(Registro!A372="","",Registro!C372)</f>
        <v/>
      </c>
      <c r="D372" s="5" t="str">
        <f aca="false">IF(Registro!A372="","",Registro!E372)</f>
        <v/>
      </c>
      <c r="E372" s="5" t="str">
        <f aca="false">IF(Registro!A372="","",Registro!G372)</f>
        <v/>
      </c>
      <c r="F372" s="5" t="str">
        <f aca="false">IF(Registro!A372="","",Registro!D372)</f>
        <v/>
      </c>
      <c r="G372" s="5" t="str">
        <f aca="false">IF(Registro!A372="","",Registro!T372)</f>
        <v/>
      </c>
      <c r="H372" s="5" t="str">
        <f aca="false">IF(Registro!A372="","",IF(Registro!D372="Realizada",Registro!L372,0))</f>
        <v/>
      </c>
      <c r="I372" s="11" t="str">
        <f aca="false">IF(OR(Registro!A372="",N(G372)=0),"",H372/G372)</f>
        <v/>
      </c>
    </row>
    <row r="373" customFormat="false" ht="15" hidden="false" customHeight="false" outlineLevel="0" collapsed="false">
      <c r="A373" s="5" t="str">
        <f aca="false">IF(Registro!A373="","",Registro!A373)</f>
        <v/>
      </c>
      <c r="B373" s="5" t="str">
        <f aca="false">IF(Registro!A373="","",Registro!B373)</f>
        <v/>
      </c>
      <c r="C373" s="5" t="str">
        <f aca="false">IF(Registro!A373="","",Registro!C373)</f>
        <v/>
      </c>
      <c r="D373" s="5" t="str">
        <f aca="false">IF(Registro!A373="","",Registro!E373)</f>
        <v/>
      </c>
      <c r="E373" s="5" t="str">
        <f aca="false">IF(Registro!A373="","",Registro!G373)</f>
        <v/>
      </c>
      <c r="F373" s="5" t="str">
        <f aca="false">IF(Registro!A373="","",Registro!D373)</f>
        <v/>
      </c>
      <c r="G373" s="5" t="str">
        <f aca="false">IF(Registro!A373="","",Registro!T373)</f>
        <v/>
      </c>
      <c r="H373" s="5" t="str">
        <f aca="false">IF(Registro!A373="","",IF(Registro!D373="Realizada",Registro!L373,0))</f>
        <v/>
      </c>
      <c r="I373" s="11" t="str">
        <f aca="false">IF(OR(Registro!A373="",N(G373)=0),"",H373/G373)</f>
        <v/>
      </c>
    </row>
    <row r="374" customFormat="false" ht="15" hidden="false" customHeight="false" outlineLevel="0" collapsed="false">
      <c r="A374" s="5" t="str">
        <f aca="false">IF(Registro!A374="","",Registro!A374)</f>
        <v/>
      </c>
      <c r="B374" s="5" t="str">
        <f aca="false">IF(Registro!A374="","",Registro!B374)</f>
        <v/>
      </c>
      <c r="C374" s="5" t="str">
        <f aca="false">IF(Registro!A374="","",Registro!C374)</f>
        <v/>
      </c>
      <c r="D374" s="5" t="str">
        <f aca="false">IF(Registro!A374="","",Registro!E374)</f>
        <v/>
      </c>
      <c r="E374" s="5" t="str">
        <f aca="false">IF(Registro!A374="","",Registro!G374)</f>
        <v/>
      </c>
      <c r="F374" s="5" t="str">
        <f aca="false">IF(Registro!A374="","",Registro!D374)</f>
        <v/>
      </c>
      <c r="G374" s="5" t="str">
        <f aca="false">IF(Registro!A374="","",Registro!T374)</f>
        <v/>
      </c>
      <c r="H374" s="5" t="str">
        <f aca="false">IF(Registro!A374="","",IF(Registro!D374="Realizada",Registro!L374,0))</f>
        <v/>
      </c>
      <c r="I374" s="11" t="str">
        <f aca="false">IF(OR(Registro!A374="",N(G374)=0),"",H374/G374)</f>
        <v/>
      </c>
    </row>
    <row r="375" customFormat="false" ht="15" hidden="false" customHeight="false" outlineLevel="0" collapsed="false">
      <c r="A375" s="5" t="str">
        <f aca="false">IF(Registro!A375="","",Registro!A375)</f>
        <v/>
      </c>
      <c r="B375" s="5" t="str">
        <f aca="false">IF(Registro!A375="","",Registro!B375)</f>
        <v/>
      </c>
      <c r="C375" s="5" t="str">
        <f aca="false">IF(Registro!A375="","",Registro!C375)</f>
        <v/>
      </c>
      <c r="D375" s="5" t="str">
        <f aca="false">IF(Registro!A375="","",Registro!E375)</f>
        <v/>
      </c>
      <c r="E375" s="5" t="str">
        <f aca="false">IF(Registro!A375="","",Registro!G375)</f>
        <v/>
      </c>
      <c r="F375" s="5" t="str">
        <f aca="false">IF(Registro!A375="","",Registro!D375)</f>
        <v/>
      </c>
      <c r="G375" s="5" t="str">
        <f aca="false">IF(Registro!A375="","",Registro!T375)</f>
        <v/>
      </c>
      <c r="H375" s="5" t="str">
        <f aca="false">IF(Registro!A375="","",IF(Registro!D375="Realizada",Registro!L375,0))</f>
        <v/>
      </c>
      <c r="I375" s="11" t="str">
        <f aca="false">IF(OR(Registro!A375="",N(G375)=0),"",H375/G375)</f>
        <v/>
      </c>
    </row>
    <row r="376" customFormat="false" ht="15" hidden="false" customHeight="false" outlineLevel="0" collapsed="false">
      <c r="A376" s="5" t="str">
        <f aca="false">IF(Registro!A376="","",Registro!A376)</f>
        <v/>
      </c>
      <c r="B376" s="5" t="str">
        <f aca="false">IF(Registro!A376="","",Registro!B376)</f>
        <v/>
      </c>
      <c r="C376" s="5" t="str">
        <f aca="false">IF(Registro!A376="","",Registro!C376)</f>
        <v/>
      </c>
      <c r="D376" s="5" t="str">
        <f aca="false">IF(Registro!A376="","",Registro!E376)</f>
        <v/>
      </c>
      <c r="E376" s="5" t="str">
        <f aca="false">IF(Registro!A376="","",Registro!G376)</f>
        <v/>
      </c>
      <c r="F376" s="5" t="str">
        <f aca="false">IF(Registro!A376="","",Registro!D376)</f>
        <v/>
      </c>
      <c r="G376" s="5" t="str">
        <f aca="false">IF(Registro!A376="","",Registro!T376)</f>
        <v/>
      </c>
      <c r="H376" s="5" t="str">
        <f aca="false">IF(Registro!A376="","",IF(Registro!D376="Realizada",Registro!L376,0))</f>
        <v/>
      </c>
      <c r="I376" s="11" t="str">
        <f aca="false">IF(OR(Registro!A376="",N(G376)=0),"",H376/G376)</f>
        <v/>
      </c>
    </row>
    <row r="377" customFormat="false" ht="15" hidden="false" customHeight="false" outlineLevel="0" collapsed="false">
      <c r="A377" s="5" t="str">
        <f aca="false">IF(Registro!A377="","",Registro!A377)</f>
        <v/>
      </c>
      <c r="B377" s="5" t="str">
        <f aca="false">IF(Registro!A377="","",Registro!B377)</f>
        <v/>
      </c>
      <c r="C377" s="5" t="str">
        <f aca="false">IF(Registro!A377="","",Registro!C377)</f>
        <v/>
      </c>
      <c r="D377" s="5" t="str">
        <f aca="false">IF(Registro!A377="","",Registro!E377)</f>
        <v/>
      </c>
      <c r="E377" s="5" t="str">
        <f aca="false">IF(Registro!A377="","",Registro!G377)</f>
        <v/>
      </c>
      <c r="F377" s="5" t="str">
        <f aca="false">IF(Registro!A377="","",Registro!D377)</f>
        <v/>
      </c>
      <c r="G377" s="5" t="str">
        <f aca="false">IF(Registro!A377="","",Registro!T377)</f>
        <v/>
      </c>
      <c r="H377" s="5" t="str">
        <f aca="false">IF(Registro!A377="","",IF(Registro!D377="Realizada",Registro!L377,0))</f>
        <v/>
      </c>
      <c r="I377" s="11" t="str">
        <f aca="false">IF(OR(Registro!A377="",N(G377)=0),"",H377/G377)</f>
        <v/>
      </c>
    </row>
    <row r="378" customFormat="false" ht="15" hidden="false" customHeight="false" outlineLevel="0" collapsed="false">
      <c r="A378" s="5" t="str">
        <f aca="false">IF(Registro!A378="","",Registro!A378)</f>
        <v/>
      </c>
      <c r="B378" s="5" t="str">
        <f aca="false">IF(Registro!A378="","",Registro!B378)</f>
        <v/>
      </c>
      <c r="C378" s="5" t="str">
        <f aca="false">IF(Registro!A378="","",Registro!C378)</f>
        <v/>
      </c>
      <c r="D378" s="5" t="str">
        <f aca="false">IF(Registro!A378="","",Registro!E378)</f>
        <v/>
      </c>
      <c r="E378" s="5" t="str">
        <f aca="false">IF(Registro!A378="","",Registro!G378)</f>
        <v/>
      </c>
      <c r="F378" s="5" t="str">
        <f aca="false">IF(Registro!A378="","",Registro!D378)</f>
        <v/>
      </c>
      <c r="G378" s="5" t="str">
        <f aca="false">IF(Registro!A378="","",Registro!T378)</f>
        <v/>
      </c>
      <c r="H378" s="5" t="str">
        <f aca="false">IF(Registro!A378="","",IF(Registro!D378="Realizada",Registro!L378,0))</f>
        <v/>
      </c>
      <c r="I378" s="11" t="str">
        <f aca="false">IF(OR(Registro!A378="",N(G378)=0),"",H378/G378)</f>
        <v/>
      </c>
    </row>
    <row r="379" customFormat="false" ht="15" hidden="false" customHeight="false" outlineLevel="0" collapsed="false">
      <c r="A379" s="5" t="str">
        <f aca="false">IF(Registro!A379="","",Registro!A379)</f>
        <v/>
      </c>
      <c r="B379" s="5" t="str">
        <f aca="false">IF(Registro!A379="","",Registro!B379)</f>
        <v/>
      </c>
      <c r="C379" s="5" t="str">
        <f aca="false">IF(Registro!A379="","",Registro!C379)</f>
        <v/>
      </c>
      <c r="D379" s="5" t="str">
        <f aca="false">IF(Registro!A379="","",Registro!E379)</f>
        <v/>
      </c>
      <c r="E379" s="5" t="str">
        <f aca="false">IF(Registro!A379="","",Registro!G379)</f>
        <v/>
      </c>
      <c r="F379" s="5" t="str">
        <f aca="false">IF(Registro!A379="","",Registro!D379)</f>
        <v/>
      </c>
      <c r="G379" s="5" t="str">
        <f aca="false">IF(Registro!A379="","",Registro!T379)</f>
        <v/>
      </c>
      <c r="H379" s="5" t="str">
        <f aca="false">IF(Registro!A379="","",IF(Registro!D379="Realizada",Registro!L379,0))</f>
        <v/>
      </c>
      <c r="I379" s="11" t="str">
        <f aca="false">IF(OR(Registro!A379="",N(G379)=0),"",H379/G379)</f>
        <v/>
      </c>
    </row>
    <row r="380" customFormat="false" ht="15" hidden="false" customHeight="false" outlineLevel="0" collapsed="false">
      <c r="A380" s="5" t="str">
        <f aca="false">IF(Registro!A380="","",Registro!A380)</f>
        <v/>
      </c>
      <c r="B380" s="5" t="str">
        <f aca="false">IF(Registro!A380="","",Registro!B380)</f>
        <v/>
      </c>
      <c r="C380" s="5" t="str">
        <f aca="false">IF(Registro!A380="","",Registro!C380)</f>
        <v/>
      </c>
      <c r="D380" s="5" t="str">
        <f aca="false">IF(Registro!A380="","",Registro!E380)</f>
        <v/>
      </c>
      <c r="E380" s="5" t="str">
        <f aca="false">IF(Registro!A380="","",Registro!G380)</f>
        <v/>
      </c>
      <c r="F380" s="5" t="str">
        <f aca="false">IF(Registro!A380="","",Registro!D380)</f>
        <v/>
      </c>
      <c r="G380" s="5" t="str">
        <f aca="false">IF(Registro!A380="","",Registro!T380)</f>
        <v/>
      </c>
      <c r="H380" s="5" t="str">
        <f aca="false">IF(Registro!A380="","",IF(Registro!D380="Realizada",Registro!L380,0))</f>
        <v/>
      </c>
      <c r="I380" s="11" t="str">
        <f aca="false">IF(OR(Registro!A380="",N(G380)=0),"",H380/G380)</f>
        <v/>
      </c>
    </row>
    <row r="381" customFormat="false" ht="15" hidden="false" customHeight="false" outlineLevel="0" collapsed="false">
      <c r="A381" s="5" t="str">
        <f aca="false">IF(Registro!A381="","",Registro!A381)</f>
        <v/>
      </c>
      <c r="B381" s="5" t="str">
        <f aca="false">IF(Registro!A381="","",Registro!B381)</f>
        <v/>
      </c>
      <c r="C381" s="5" t="str">
        <f aca="false">IF(Registro!A381="","",Registro!C381)</f>
        <v/>
      </c>
      <c r="D381" s="5" t="str">
        <f aca="false">IF(Registro!A381="","",Registro!E381)</f>
        <v/>
      </c>
      <c r="E381" s="5" t="str">
        <f aca="false">IF(Registro!A381="","",Registro!G381)</f>
        <v/>
      </c>
      <c r="F381" s="5" t="str">
        <f aca="false">IF(Registro!A381="","",Registro!D381)</f>
        <v/>
      </c>
      <c r="G381" s="5" t="str">
        <f aca="false">IF(Registro!A381="","",Registro!T381)</f>
        <v/>
      </c>
      <c r="H381" s="5" t="str">
        <f aca="false">IF(Registro!A381="","",IF(Registro!D381="Realizada",Registro!L381,0))</f>
        <v/>
      </c>
      <c r="I381" s="11" t="str">
        <f aca="false">IF(OR(Registro!A381="",N(G381)=0),"",H381/G381)</f>
        <v/>
      </c>
    </row>
    <row r="382" customFormat="false" ht="15" hidden="false" customHeight="false" outlineLevel="0" collapsed="false">
      <c r="A382" s="5" t="str">
        <f aca="false">IF(Registro!A382="","",Registro!A382)</f>
        <v/>
      </c>
      <c r="B382" s="5" t="str">
        <f aca="false">IF(Registro!A382="","",Registro!B382)</f>
        <v/>
      </c>
      <c r="C382" s="5" t="str">
        <f aca="false">IF(Registro!A382="","",Registro!C382)</f>
        <v/>
      </c>
      <c r="D382" s="5" t="str">
        <f aca="false">IF(Registro!A382="","",Registro!E382)</f>
        <v/>
      </c>
      <c r="E382" s="5" t="str">
        <f aca="false">IF(Registro!A382="","",Registro!G382)</f>
        <v/>
      </c>
      <c r="F382" s="5" t="str">
        <f aca="false">IF(Registro!A382="","",Registro!D382)</f>
        <v/>
      </c>
      <c r="G382" s="5" t="str">
        <f aca="false">IF(Registro!A382="","",Registro!T382)</f>
        <v/>
      </c>
      <c r="H382" s="5" t="str">
        <f aca="false">IF(Registro!A382="","",IF(Registro!D382="Realizada",Registro!L382,0))</f>
        <v/>
      </c>
      <c r="I382" s="11" t="str">
        <f aca="false">IF(OR(Registro!A382="",N(G382)=0),"",H382/G382)</f>
        <v/>
      </c>
    </row>
    <row r="383" customFormat="false" ht="15" hidden="false" customHeight="false" outlineLevel="0" collapsed="false">
      <c r="A383" s="5" t="str">
        <f aca="false">IF(Registro!A383="","",Registro!A383)</f>
        <v/>
      </c>
      <c r="B383" s="5" t="str">
        <f aca="false">IF(Registro!A383="","",Registro!B383)</f>
        <v/>
      </c>
      <c r="C383" s="5" t="str">
        <f aca="false">IF(Registro!A383="","",Registro!C383)</f>
        <v/>
      </c>
      <c r="D383" s="5" t="str">
        <f aca="false">IF(Registro!A383="","",Registro!E383)</f>
        <v/>
      </c>
      <c r="E383" s="5" t="str">
        <f aca="false">IF(Registro!A383="","",Registro!G383)</f>
        <v/>
      </c>
      <c r="F383" s="5" t="str">
        <f aca="false">IF(Registro!A383="","",Registro!D383)</f>
        <v/>
      </c>
      <c r="G383" s="5" t="str">
        <f aca="false">IF(Registro!A383="","",Registro!T383)</f>
        <v/>
      </c>
      <c r="H383" s="5" t="str">
        <f aca="false">IF(Registro!A383="","",IF(Registro!D383="Realizada",Registro!L383,0))</f>
        <v/>
      </c>
      <c r="I383" s="11" t="str">
        <f aca="false">IF(OR(Registro!A383="",N(G383)=0),"",H383/G383)</f>
        <v/>
      </c>
    </row>
    <row r="384" customFormat="false" ht="15" hidden="false" customHeight="false" outlineLevel="0" collapsed="false">
      <c r="A384" s="5" t="str">
        <f aca="false">IF(Registro!A384="","",Registro!A384)</f>
        <v/>
      </c>
      <c r="B384" s="5" t="str">
        <f aca="false">IF(Registro!A384="","",Registro!B384)</f>
        <v/>
      </c>
      <c r="C384" s="5" t="str">
        <f aca="false">IF(Registro!A384="","",Registro!C384)</f>
        <v/>
      </c>
      <c r="D384" s="5" t="str">
        <f aca="false">IF(Registro!A384="","",Registro!E384)</f>
        <v/>
      </c>
      <c r="E384" s="5" t="str">
        <f aca="false">IF(Registro!A384="","",Registro!G384)</f>
        <v/>
      </c>
      <c r="F384" s="5" t="str">
        <f aca="false">IF(Registro!A384="","",Registro!D384)</f>
        <v/>
      </c>
      <c r="G384" s="5" t="str">
        <f aca="false">IF(Registro!A384="","",Registro!T384)</f>
        <v/>
      </c>
      <c r="H384" s="5" t="str">
        <f aca="false">IF(Registro!A384="","",IF(Registro!D384="Realizada",Registro!L384,0))</f>
        <v/>
      </c>
      <c r="I384" s="11" t="str">
        <f aca="false">IF(OR(Registro!A384="",N(G384)=0),"",H384/G384)</f>
        <v/>
      </c>
    </row>
    <row r="385" customFormat="false" ht="15" hidden="false" customHeight="false" outlineLevel="0" collapsed="false">
      <c r="A385" s="5" t="str">
        <f aca="false">IF(Registro!A385="","",Registro!A385)</f>
        <v/>
      </c>
      <c r="B385" s="5" t="str">
        <f aca="false">IF(Registro!A385="","",Registro!B385)</f>
        <v/>
      </c>
      <c r="C385" s="5" t="str">
        <f aca="false">IF(Registro!A385="","",Registro!C385)</f>
        <v/>
      </c>
      <c r="D385" s="5" t="str">
        <f aca="false">IF(Registro!A385="","",Registro!E385)</f>
        <v/>
      </c>
      <c r="E385" s="5" t="str">
        <f aca="false">IF(Registro!A385="","",Registro!G385)</f>
        <v/>
      </c>
      <c r="F385" s="5" t="str">
        <f aca="false">IF(Registro!A385="","",Registro!D385)</f>
        <v/>
      </c>
      <c r="G385" s="5" t="str">
        <f aca="false">IF(Registro!A385="","",Registro!T385)</f>
        <v/>
      </c>
      <c r="H385" s="5" t="str">
        <f aca="false">IF(Registro!A385="","",IF(Registro!D385="Realizada",Registro!L385,0))</f>
        <v/>
      </c>
      <c r="I385" s="11" t="str">
        <f aca="false">IF(OR(Registro!A385="",N(G385)=0),"",H385/G385)</f>
        <v/>
      </c>
    </row>
    <row r="386" customFormat="false" ht="15" hidden="false" customHeight="false" outlineLevel="0" collapsed="false">
      <c r="A386" s="5" t="str">
        <f aca="false">IF(Registro!A386="","",Registro!A386)</f>
        <v/>
      </c>
      <c r="B386" s="5" t="str">
        <f aca="false">IF(Registro!A386="","",Registro!B386)</f>
        <v/>
      </c>
      <c r="C386" s="5" t="str">
        <f aca="false">IF(Registro!A386="","",Registro!C386)</f>
        <v/>
      </c>
      <c r="D386" s="5" t="str">
        <f aca="false">IF(Registro!A386="","",Registro!E386)</f>
        <v/>
      </c>
      <c r="E386" s="5" t="str">
        <f aca="false">IF(Registro!A386="","",Registro!G386)</f>
        <v/>
      </c>
      <c r="F386" s="5" t="str">
        <f aca="false">IF(Registro!A386="","",Registro!D386)</f>
        <v/>
      </c>
      <c r="G386" s="5" t="str">
        <f aca="false">IF(Registro!A386="","",Registro!T386)</f>
        <v/>
      </c>
      <c r="H386" s="5" t="str">
        <f aca="false">IF(Registro!A386="","",IF(Registro!D386="Realizada",Registro!L386,0))</f>
        <v/>
      </c>
      <c r="I386" s="11" t="str">
        <f aca="false">IF(OR(Registro!A386="",N(G386)=0),"",H386/G386)</f>
        <v/>
      </c>
    </row>
    <row r="387" customFormat="false" ht="15" hidden="false" customHeight="false" outlineLevel="0" collapsed="false">
      <c r="A387" s="5" t="str">
        <f aca="false">IF(Registro!A387="","",Registro!A387)</f>
        <v/>
      </c>
      <c r="B387" s="5" t="str">
        <f aca="false">IF(Registro!A387="","",Registro!B387)</f>
        <v/>
      </c>
      <c r="C387" s="5" t="str">
        <f aca="false">IF(Registro!A387="","",Registro!C387)</f>
        <v/>
      </c>
      <c r="D387" s="5" t="str">
        <f aca="false">IF(Registro!A387="","",Registro!E387)</f>
        <v/>
      </c>
      <c r="E387" s="5" t="str">
        <f aca="false">IF(Registro!A387="","",Registro!G387)</f>
        <v/>
      </c>
      <c r="F387" s="5" t="str">
        <f aca="false">IF(Registro!A387="","",Registro!D387)</f>
        <v/>
      </c>
      <c r="G387" s="5" t="str">
        <f aca="false">IF(Registro!A387="","",Registro!T387)</f>
        <v/>
      </c>
      <c r="H387" s="5" t="str">
        <f aca="false">IF(Registro!A387="","",IF(Registro!D387="Realizada",Registro!L387,0))</f>
        <v/>
      </c>
      <c r="I387" s="11" t="str">
        <f aca="false">IF(OR(Registro!A387="",N(G387)=0),"",H387/G387)</f>
        <v/>
      </c>
    </row>
    <row r="388" customFormat="false" ht="15" hidden="false" customHeight="false" outlineLevel="0" collapsed="false">
      <c r="A388" s="5" t="str">
        <f aca="false">IF(Registro!A388="","",Registro!A388)</f>
        <v/>
      </c>
      <c r="B388" s="5" t="str">
        <f aca="false">IF(Registro!A388="","",Registro!B388)</f>
        <v/>
      </c>
      <c r="C388" s="5" t="str">
        <f aca="false">IF(Registro!A388="","",Registro!C388)</f>
        <v/>
      </c>
      <c r="D388" s="5" t="str">
        <f aca="false">IF(Registro!A388="","",Registro!E388)</f>
        <v/>
      </c>
      <c r="E388" s="5" t="str">
        <f aca="false">IF(Registro!A388="","",Registro!G388)</f>
        <v/>
      </c>
      <c r="F388" s="5" t="str">
        <f aca="false">IF(Registro!A388="","",Registro!D388)</f>
        <v/>
      </c>
      <c r="G388" s="5" t="str">
        <f aca="false">IF(Registro!A388="","",Registro!T388)</f>
        <v/>
      </c>
      <c r="H388" s="5" t="str">
        <f aca="false">IF(Registro!A388="","",IF(Registro!D388="Realizada",Registro!L388,0))</f>
        <v/>
      </c>
      <c r="I388" s="11" t="str">
        <f aca="false">IF(OR(Registro!A388="",N(G388)=0),"",H388/G388)</f>
        <v/>
      </c>
    </row>
    <row r="389" customFormat="false" ht="15" hidden="false" customHeight="false" outlineLevel="0" collapsed="false">
      <c r="A389" s="5" t="str">
        <f aca="false">IF(Registro!A389="","",Registro!A389)</f>
        <v/>
      </c>
      <c r="B389" s="5" t="str">
        <f aca="false">IF(Registro!A389="","",Registro!B389)</f>
        <v/>
      </c>
      <c r="C389" s="5" t="str">
        <f aca="false">IF(Registro!A389="","",Registro!C389)</f>
        <v/>
      </c>
      <c r="D389" s="5" t="str">
        <f aca="false">IF(Registro!A389="","",Registro!E389)</f>
        <v/>
      </c>
      <c r="E389" s="5" t="str">
        <f aca="false">IF(Registro!A389="","",Registro!G389)</f>
        <v/>
      </c>
      <c r="F389" s="5" t="str">
        <f aca="false">IF(Registro!A389="","",Registro!D389)</f>
        <v/>
      </c>
      <c r="G389" s="5" t="str">
        <f aca="false">IF(Registro!A389="","",Registro!T389)</f>
        <v/>
      </c>
      <c r="H389" s="5" t="str">
        <f aca="false">IF(Registro!A389="","",IF(Registro!D389="Realizada",Registro!L389,0))</f>
        <v/>
      </c>
      <c r="I389" s="11" t="str">
        <f aca="false">IF(OR(Registro!A389="",N(G389)=0),"",H389/G389)</f>
        <v/>
      </c>
    </row>
    <row r="390" customFormat="false" ht="15" hidden="false" customHeight="false" outlineLevel="0" collapsed="false">
      <c r="A390" s="5" t="str">
        <f aca="false">IF(Registro!A390="","",Registro!A390)</f>
        <v/>
      </c>
      <c r="B390" s="5" t="str">
        <f aca="false">IF(Registro!A390="","",Registro!B390)</f>
        <v/>
      </c>
      <c r="C390" s="5" t="str">
        <f aca="false">IF(Registro!A390="","",Registro!C390)</f>
        <v/>
      </c>
      <c r="D390" s="5" t="str">
        <f aca="false">IF(Registro!A390="","",Registro!E390)</f>
        <v/>
      </c>
      <c r="E390" s="5" t="str">
        <f aca="false">IF(Registro!A390="","",Registro!G390)</f>
        <v/>
      </c>
      <c r="F390" s="5" t="str">
        <f aca="false">IF(Registro!A390="","",Registro!D390)</f>
        <v/>
      </c>
      <c r="G390" s="5" t="str">
        <f aca="false">IF(Registro!A390="","",Registro!T390)</f>
        <v/>
      </c>
      <c r="H390" s="5" t="str">
        <f aca="false">IF(Registro!A390="","",IF(Registro!D390="Realizada",Registro!L390,0))</f>
        <v/>
      </c>
      <c r="I390" s="11" t="str">
        <f aca="false">IF(OR(Registro!A390="",N(G390)=0),"",H390/G390)</f>
        <v/>
      </c>
    </row>
    <row r="391" customFormat="false" ht="15" hidden="false" customHeight="false" outlineLevel="0" collapsed="false">
      <c r="A391" s="5" t="str">
        <f aca="false">IF(Registro!A391="","",Registro!A391)</f>
        <v/>
      </c>
      <c r="B391" s="5" t="str">
        <f aca="false">IF(Registro!A391="","",Registro!B391)</f>
        <v/>
      </c>
      <c r="C391" s="5" t="str">
        <f aca="false">IF(Registro!A391="","",Registro!C391)</f>
        <v/>
      </c>
      <c r="D391" s="5" t="str">
        <f aca="false">IF(Registro!A391="","",Registro!E391)</f>
        <v/>
      </c>
      <c r="E391" s="5" t="str">
        <f aca="false">IF(Registro!A391="","",Registro!G391)</f>
        <v/>
      </c>
      <c r="F391" s="5" t="str">
        <f aca="false">IF(Registro!A391="","",Registro!D391)</f>
        <v/>
      </c>
      <c r="G391" s="5" t="str">
        <f aca="false">IF(Registro!A391="","",Registro!T391)</f>
        <v/>
      </c>
      <c r="H391" s="5" t="str">
        <f aca="false">IF(Registro!A391="","",IF(Registro!D391="Realizada",Registro!L391,0))</f>
        <v/>
      </c>
      <c r="I391" s="11" t="str">
        <f aca="false">IF(OR(Registro!A391="",N(G391)=0),"",H391/G391)</f>
        <v/>
      </c>
    </row>
    <row r="392" customFormat="false" ht="15" hidden="false" customHeight="false" outlineLevel="0" collapsed="false">
      <c r="A392" s="5" t="str">
        <f aca="false">IF(Registro!A392="","",Registro!A392)</f>
        <v/>
      </c>
      <c r="B392" s="5" t="str">
        <f aca="false">IF(Registro!A392="","",Registro!B392)</f>
        <v/>
      </c>
      <c r="C392" s="5" t="str">
        <f aca="false">IF(Registro!A392="","",Registro!C392)</f>
        <v/>
      </c>
      <c r="D392" s="5" t="str">
        <f aca="false">IF(Registro!A392="","",Registro!E392)</f>
        <v/>
      </c>
      <c r="E392" s="5" t="str">
        <f aca="false">IF(Registro!A392="","",Registro!G392)</f>
        <v/>
      </c>
      <c r="F392" s="5" t="str">
        <f aca="false">IF(Registro!A392="","",Registro!D392)</f>
        <v/>
      </c>
      <c r="G392" s="5" t="str">
        <f aca="false">IF(Registro!A392="","",Registro!T392)</f>
        <v/>
      </c>
      <c r="H392" s="5" t="str">
        <f aca="false">IF(Registro!A392="","",IF(Registro!D392="Realizada",Registro!L392,0))</f>
        <v/>
      </c>
      <c r="I392" s="11" t="str">
        <f aca="false">IF(OR(Registro!A392="",N(G392)=0),"",H392/G392)</f>
        <v/>
      </c>
    </row>
    <row r="393" customFormat="false" ht="15" hidden="false" customHeight="false" outlineLevel="0" collapsed="false">
      <c r="A393" s="5" t="str">
        <f aca="false">IF(Registro!A393="","",Registro!A393)</f>
        <v/>
      </c>
      <c r="B393" s="5" t="str">
        <f aca="false">IF(Registro!A393="","",Registro!B393)</f>
        <v/>
      </c>
      <c r="C393" s="5" t="str">
        <f aca="false">IF(Registro!A393="","",Registro!C393)</f>
        <v/>
      </c>
      <c r="D393" s="5" t="str">
        <f aca="false">IF(Registro!A393="","",Registro!E393)</f>
        <v/>
      </c>
      <c r="E393" s="5" t="str">
        <f aca="false">IF(Registro!A393="","",Registro!G393)</f>
        <v/>
      </c>
      <c r="F393" s="5" t="str">
        <f aca="false">IF(Registro!A393="","",Registro!D393)</f>
        <v/>
      </c>
      <c r="G393" s="5" t="str">
        <f aca="false">IF(Registro!A393="","",Registro!T393)</f>
        <v/>
      </c>
      <c r="H393" s="5" t="str">
        <f aca="false">IF(Registro!A393="","",IF(Registro!D393="Realizada",Registro!L393,0))</f>
        <v/>
      </c>
      <c r="I393" s="11" t="str">
        <f aca="false">IF(OR(Registro!A393="",N(G393)=0),"",H393/G393)</f>
        <v/>
      </c>
    </row>
    <row r="394" customFormat="false" ht="15" hidden="false" customHeight="false" outlineLevel="0" collapsed="false">
      <c r="A394" s="5" t="str">
        <f aca="false">IF(Registro!A394="","",Registro!A394)</f>
        <v/>
      </c>
      <c r="B394" s="5" t="str">
        <f aca="false">IF(Registro!A394="","",Registro!B394)</f>
        <v/>
      </c>
      <c r="C394" s="5" t="str">
        <f aca="false">IF(Registro!A394="","",Registro!C394)</f>
        <v/>
      </c>
      <c r="D394" s="5" t="str">
        <f aca="false">IF(Registro!A394="","",Registro!E394)</f>
        <v/>
      </c>
      <c r="E394" s="5" t="str">
        <f aca="false">IF(Registro!A394="","",Registro!G394)</f>
        <v/>
      </c>
      <c r="F394" s="5" t="str">
        <f aca="false">IF(Registro!A394="","",Registro!D394)</f>
        <v/>
      </c>
      <c r="G394" s="5" t="str">
        <f aca="false">IF(Registro!A394="","",Registro!T394)</f>
        <v/>
      </c>
      <c r="H394" s="5" t="str">
        <f aca="false">IF(Registro!A394="","",IF(Registro!D394="Realizada",Registro!L394,0))</f>
        <v/>
      </c>
      <c r="I394" s="11" t="str">
        <f aca="false">IF(OR(Registro!A394="",N(G394)=0),"",H394/G394)</f>
        <v/>
      </c>
    </row>
    <row r="395" customFormat="false" ht="15" hidden="false" customHeight="false" outlineLevel="0" collapsed="false">
      <c r="A395" s="5" t="str">
        <f aca="false">IF(Registro!A395="","",Registro!A395)</f>
        <v/>
      </c>
      <c r="B395" s="5" t="str">
        <f aca="false">IF(Registro!A395="","",Registro!B395)</f>
        <v/>
      </c>
      <c r="C395" s="5" t="str">
        <f aca="false">IF(Registro!A395="","",Registro!C395)</f>
        <v/>
      </c>
      <c r="D395" s="5" t="str">
        <f aca="false">IF(Registro!A395="","",Registro!E395)</f>
        <v/>
      </c>
      <c r="E395" s="5" t="str">
        <f aca="false">IF(Registro!A395="","",Registro!G395)</f>
        <v/>
      </c>
      <c r="F395" s="5" t="str">
        <f aca="false">IF(Registro!A395="","",Registro!D395)</f>
        <v/>
      </c>
      <c r="G395" s="5" t="str">
        <f aca="false">IF(Registro!A395="","",Registro!T395)</f>
        <v/>
      </c>
      <c r="H395" s="5" t="str">
        <f aca="false">IF(Registro!A395="","",IF(Registro!D395="Realizada",Registro!L395,0))</f>
        <v/>
      </c>
      <c r="I395" s="11" t="str">
        <f aca="false">IF(OR(Registro!A395="",N(G395)=0),"",H395/G395)</f>
        <v/>
      </c>
    </row>
    <row r="396" customFormat="false" ht="15" hidden="false" customHeight="false" outlineLevel="0" collapsed="false">
      <c r="A396" s="5" t="str">
        <f aca="false">IF(Registro!A396="","",Registro!A396)</f>
        <v/>
      </c>
      <c r="B396" s="5" t="str">
        <f aca="false">IF(Registro!A396="","",Registro!B396)</f>
        <v/>
      </c>
      <c r="C396" s="5" t="str">
        <f aca="false">IF(Registro!A396="","",Registro!C396)</f>
        <v/>
      </c>
      <c r="D396" s="5" t="str">
        <f aca="false">IF(Registro!A396="","",Registro!E396)</f>
        <v/>
      </c>
      <c r="E396" s="5" t="str">
        <f aca="false">IF(Registro!A396="","",Registro!G396)</f>
        <v/>
      </c>
      <c r="F396" s="5" t="str">
        <f aca="false">IF(Registro!A396="","",Registro!D396)</f>
        <v/>
      </c>
      <c r="G396" s="5" t="str">
        <f aca="false">IF(Registro!A396="","",Registro!T396)</f>
        <v/>
      </c>
      <c r="H396" s="5" t="str">
        <f aca="false">IF(Registro!A396="","",IF(Registro!D396="Realizada",Registro!L396,0))</f>
        <v/>
      </c>
      <c r="I396" s="11" t="str">
        <f aca="false">IF(OR(Registro!A396="",N(G396)=0),"",H396/G396)</f>
        <v/>
      </c>
    </row>
    <row r="397" customFormat="false" ht="15" hidden="false" customHeight="false" outlineLevel="0" collapsed="false">
      <c r="A397" s="5" t="str">
        <f aca="false">IF(Registro!A397="","",Registro!A397)</f>
        <v/>
      </c>
      <c r="B397" s="5" t="str">
        <f aca="false">IF(Registro!A397="","",Registro!B397)</f>
        <v/>
      </c>
      <c r="C397" s="5" t="str">
        <f aca="false">IF(Registro!A397="","",Registro!C397)</f>
        <v/>
      </c>
      <c r="D397" s="5" t="str">
        <f aca="false">IF(Registro!A397="","",Registro!E397)</f>
        <v/>
      </c>
      <c r="E397" s="5" t="str">
        <f aca="false">IF(Registro!A397="","",Registro!G397)</f>
        <v/>
      </c>
      <c r="F397" s="5" t="str">
        <f aca="false">IF(Registro!A397="","",Registro!D397)</f>
        <v/>
      </c>
      <c r="G397" s="5" t="str">
        <f aca="false">IF(Registro!A397="","",Registro!T397)</f>
        <v/>
      </c>
      <c r="H397" s="5" t="str">
        <f aca="false">IF(Registro!A397="","",IF(Registro!D397="Realizada",Registro!L397,0))</f>
        <v/>
      </c>
      <c r="I397" s="11" t="str">
        <f aca="false">IF(OR(Registro!A397="",N(G397)=0),"",H397/G397)</f>
        <v/>
      </c>
    </row>
    <row r="398" customFormat="false" ht="15" hidden="false" customHeight="false" outlineLevel="0" collapsed="false">
      <c r="A398" s="5" t="str">
        <f aca="false">IF(Registro!A398="","",Registro!A398)</f>
        <v/>
      </c>
      <c r="B398" s="5" t="str">
        <f aca="false">IF(Registro!A398="","",Registro!B398)</f>
        <v/>
      </c>
      <c r="C398" s="5" t="str">
        <f aca="false">IF(Registro!A398="","",Registro!C398)</f>
        <v/>
      </c>
      <c r="D398" s="5" t="str">
        <f aca="false">IF(Registro!A398="","",Registro!E398)</f>
        <v/>
      </c>
      <c r="E398" s="5" t="str">
        <f aca="false">IF(Registro!A398="","",Registro!G398)</f>
        <v/>
      </c>
      <c r="F398" s="5" t="str">
        <f aca="false">IF(Registro!A398="","",Registro!D398)</f>
        <v/>
      </c>
      <c r="G398" s="5" t="str">
        <f aca="false">IF(Registro!A398="","",Registro!T398)</f>
        <v/>
      </c>
      <c r="H398" s="5" t="str">
        <f aca="false">IF(Registro!A398="","",IF(Registro!D398="Realizada",Registro!L398,0))</f>
        <v/>
      </c>
      <c r="I398" s="11" t="str">
        <f aca="false">IF(OR(Registro!A398="",N(G398)=0),"",H398/G398)</f>
        <v/>
      </c>
    </row>
    <row r="399" customFormat="false" ht="15" hidden="false" customHeight="false" outlineLevel="0" collapsed="false">
      <c r="A399" s="5" t="str">
        <f aca="false">IF(Registro!A399="","",Registro!A399)</f>
        <v/>
      </c>
      <c r="B399" s="5" t="str">
        <f aca="false">IF(Registro!A399="","",Registro!B399)</f>
        <v/>
      </c>
      <c r="C399" s="5" t="str">
        <f aca="false">IF(Registro!A399="","",Registro!C399)</f>
        <v/>
      </c>
      <c r="D399" s="5" t="str">
        <f aca="false">IF(Registro!A399="","",Registro!E399)</f>
        <v/>
      </c>
      <c r="E399" s="5" t="str">
        <f aca="false">IF(Registro!A399="","",Registro!G399)</f>
        <v/>
      </c>
      <c r="F399" s="5" t="str">
        <f aca="false">IF(Registro!A399="","",Registro!D399)</f>
        <v/>
      </c>
      <c r="G399" s="5" t="str">
        <f aca="false">IF(Registro!A399="","",Registro!T399)</f>
        <v/>
      </c>
      <c r="H399" s="5" t="str">
        <f aca="false">IF(Registro!A399="","",IF(Registro!D399="Realizada",Registro!L399,0))</f>
        <v/>
      </c>
      <c r="I399" s="11" t="str">
        <f aca="false">IF(OR(Registro!A399="",N(G399)=0),"",H399/G399)</f>
        <v/>
      </c>
    </row>
    <row r="400" customFormat="false" ht="15" hidden="false" customHeight="false" outlineLevel="0" collapsed="false">
      <c r="A400" s="5" t="str">
        <f aca="false">IF(Registro!A400="","",Registro!A400)</f>
        <v/>
      </c>
      <c r="B400" s="5" t="str">
        <f aca="false">IF(Registro!A400="","",Registro!B400)</f>
        <v/>
      </c>
      <c r="C400" s="5" t="str">
        <f aca="false">IF(Registro!A400="","",Registro!C400)</f>
        <v/>
      </c>
      <c r="D400" s="5" t="str">
        <f aca="false">IF(Registro!A400="","",Registro!E400)</f>
        <v/>
      </c>
      <c r="E400" s="5" t="str">
        <f aca="false">IF(Registro!A400="","",Registro!G400)</f>
        <v/>
      </c>
      <c r="F400" s="5" t="str">
        <f aca="false">IF(Registro!A400="","",Registro!D400)</f>
        <v/>
      </c>
      <c r="G400" s="5" t="str">
        <f aca="false">IF(Registro!A400="","",Registro!T400)</f>
        <v/>
      </c>
      <c r="H400" s="5" t="str">
        <f aca="false">IF(Registro!A400="","",IF(Registro!D400="Realizada",Registro!L400,0))</f>
        <v/>
      </c>
      <c r="I400" s="11" t="str">
        <f aca="false">IF(OR(Registro!A400="",N(G400)=0),"",H400/G400)</f>
        <v/>
      </c>
    </row>
    <row r="401" customFormat="false" ht="15" hidden="false" customHeight="false" outlineLevel="0" collapsed="false">
      <c r="A401" s="5" t="str">
        <f aca="false">IF(Registro!A401="","",Registro!A401)</f>
        <v/>
      </c>
      <c r="B401" s="5" t="str">
        <f aca="false">IF(Registro!A401="","",Registro!B401)</f>
        <v/>
      </c>
      <c r="C401" s="5" t="str">
        <f aca="false">IF(Registro!A401="","",Registro!C401)</f>
        <v/>
      </c>
      <c r="D401" s="5" t="str">
        <f aca="false">IF(Registro!A401="","",Registro!E401)</f>
        <v/>
      </c>
      <c r="E401" s="5" t="str">
        <f aca="false">IF(Registro!A401="","",Registro!G401)</f>
        <v/>
      </c>
      <c r="F401" s="5" t="str">
        <f aca="false">IF(Registro!A401="","",Registro!D401)</f>
        <v/>
      </c>
      <c r="G401" s="5" t="str">
        <f aca="false">IF(Registro!A401="","",Registro!T401)</f>
        <v/>
      </c>
      <c r="H401" s="5" t="str">
        <f aca="false">IF(Registro!A401="","",IF(Registro!D401="Realizada",Registro!L401,0))</f>
        <v/>
      </c>
      <c r="I401" s="11" t="str">
        <f aca="false">IF(OR(Registro!A401="",N(G401)=0),"",H401/G401)</f>
        <v/>
      </c>
    </row>
  </sheetData>
  <autoFilter ref="A1:I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48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30" hidden="false" customHeight="true" outlineLevel="0" collapsed="false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1049</v>
      </c>
      <c r="G1" s="4" t="s">
        <v>1050</v>
      </c>
    </row>
    <row r="2" customFormat="false" ht="15" hidden="false" customHeight="false" outlineLevel="0" collapsed="false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1051</v>
      </c>
      <c r="G2" s="5" t="s">
        <v>1052</v>
      </c>
    </row>
    <row r="3" customFormat="false" ht="15" hidden="false" customHeight="false" outlineLevel="0" collapsed="false">
      <c r="A3" s="5" t="s">
        <v>89</v>
      </c>
      <c r="B3" s="5" t="s">
        <v>90</v>
      </c>
      <c r="C3" s="5" t="s">
        <v>141</v>
      </c>
      <c r="D3" s="5" t="s">
        <v>92</v>
      </c>
      <c r="E3" s="5" t="s">
        <v>98</v>
      </c>
      <c r="F3" s="5" t="s">
        <v>1051</v>
      </c>
      <c r="G3" s="5" t="s">
        <v>1052</v>
      </c>
    </row>
    <row r="4" customFormat="false" ht="15" hidden="false" customHeight="false" outlineLevel="0" collapsed="false">
      <c r="A4" s="5" t="s">
        <v>89</v>
      </c>
      <c r="B4" s="5" t="s">
        <v>90</v>
      </c>
      <c r="C4" s="5" t="s">
        <v>142</v>
      </c>
      <c r="D4" s="5" t="s">
        <v>92</v>
      </c>
      <c r="E4" s="5" t="s">
        <v>143</v>
      </c>
      <c r="F4" s="5" t="s">
        <v>1051</v>
      </c>
      <c r="G4" s="5" t="s">
        <v>1052</v>
      </c>
    </row>
    <row r="5" customFormat="false" ht="15" hidden="false" customHeight="false" outlineLevel="0" collapsed="false">
      <c r="A5" s="5" t="s">
        <v>89</v>
      </c>
      <c r="B5" s="5" t="s">
        <v>90</v>
      </c>
      <c r="C5" s="5" t="s">
        <v>144</v>
      </c>
      <c r="D5" s="5" t="s">
        <v>92</v>
      </c>
      <c r="E5" s="5" t="s">
        <v>145</v>
      </c>
      <c r="F5" s="5" t="s">
        <v>1051</v>
      </c>
      <c r="G5" s="5" t="s">
        <v>1052</v>
      </c>
    </row>
    <row r="6" customFormat="false" ht="15" hidden="false" customHeight="false" outlineLevel="0" collapsed="false">
      <c r="A6" s="5" t="s">
        <v>89</v>
      </c>
      <c r="B6" s="5" t="s">
        <v>90</v>
      </c>
      <c r="C6" s="5" t="s">
        <v>146</v>
      </c>
      <c r="D6" s="5" t="s">
        <v>92</v>
      </c>
      <c r="E6" s="5" t="s">
        <v>147</v>
      </c>
      <c r="F6" s="5" t="s">
        <v>1051</v>
      </c>
      <c r="G6" s="5" t="s">
        <v>1052</v>
      </c>
    </row>
    <row r="7" customFormat="false" ht="15" hidden="false" customHeight="false" outlineLevel="0" collapsed="false">
      <c r="A7" s="5" t="s">
        <v>89</v>
      </c>
      <c r="B7" s="5" t="s">
        <v>90</v>
      </c>
      <c r="C7" s="5" t="s">
        <v>148</v>
      </c>
      <c r="D7" s="5" t="s">
        <v>92</v>
      </c>
      <c r="E7" s="5" t="s">
        <v>149</v>
      </c>
      <c r="F7" s="5" t="s">
        <v>1051</v>
      </c>
      <c r="G7" s="5" t="s">
        <v>1052</v>
      </c>
    </row>
    <row r="8" customFormat="false" ht="15" hidden="false" customHeight="false" outlineLevel="0" collapsed="false">
      <c r="A8" s="5" t="s">
        <v>89</v>
      </c>
      <c r="B8" s="5" t="s">
        <v>90</v>
      </c>
      <c r="C8" s="5" t="s">
        <v>150</v>
      </c>
      <c r="D8" s="5" t="s">
        <v>92</v>
      </c>
      <c r="E8" s="5" t="s">
        <v>151</v>
      </c>
      <c r="F8" s="5" t="s">
        <v>1051</v>
      </c>
      <c r="G8" s="5" t="s">
        <v>1052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s">
        <v>152</v>
      </c>
      <c r="D9" s="5" t="s">
        <v>92</v>
      </c>
      <c r="E9" s="5" t="s">
        <v>153</v>
      </c>
      <c r="F9" s="5" t="s">
        <v>1051</v>
      </c>
      <c r="G9" s="5" t="s">
        <v>1052</v>
      </c>
    </row>
    <row r="10" customFormat="false" ht="15" hidden="false" customHeight="false" outlineLevel="0" collapsed="false">
      <c r="A10" s="5" t="s">
        <v>89</v>
      </c>
      <c r="B10" s="5" t="s">
        <v>90</v>
      </c>
      <c r="C10" s="5" t="s">
        <v>154</v>
      </c>
      <c r="D10" s="5" t="s">
        <v>92</v>
      </c>
      <c r="E10" s="5" t="s">
        <v>155</v>
      </c>
      <c r="F10" s="5" t="s">
        <v>1051</v>
      </c>
      <c r="G10" s="5" t="s">
        <v>1052</v>
      </c>
    </row>
    <row r="11" customFormat="false" ht="15" hidden="false" customHeight="false" outlineLevel="0" collapsed="false">
      <c r="A11" s="5" t="s">
        <v>89</v>
      </c>
      <c r="B11" s="5" t="s">
        <v>90</v>
      </c>
      <c r="C11" s="5" t="s">
        <v>156</v>
      </c>
      <c r="D11" s="5" t="s">
        <v>92</v>
      </c>
      <c r="E11" s="5" t="s">
        <v>157</v>
      </c>
      <c r="F11" s="5" t="s">
        <v>1051</v>
      </c>
      <c r="G11" s="5" t="s">
        <v>1052</v>
      </c>
    </row>
    <row r="12" customFormat="false" ht="15" hidden="false" customHeight="false" outlineLevel="0" collapsed="false">
      <c r="A12" s="5" t="s">
        <v>89</v>
      </c>
      <c r="B12" s="5" t="s">
        <v>90</v>
      </c>
      <c r="C12" s="5" t="s">
        <v>94</v>
      </c>
      <c r="D12" s="5" t="s">
        <v>92</v>
      </c>
      <c r="E12" s="5" t="s">
        <v>95</v>
      </c>
      <c r="F12" s="5" t="s">
        <v>1053</v>
      </c>
      <c r="G12" s="5" t="s">
        <v>1052</v>
      </c>
    </row>
    <row r="13" customFormat="false" ht="15" hidden="false" customHeight="false" outlineLevel="0" collapsed="false">
      <c r="A13" s="5" t="s">
        <v>89</v>
      </c>
      <c r="B13" s="5" t="s">
        <v>90</v>
      </c>
      <c r="C13" s="5" t="s">
        <v>158</v>
      </c>
      <c r="D13" s="5" t="s">
        <v>159</v>
      </c>
      <c r="E13" s="5" t="s">
        <v>93</v>
      </c>
      <c r="F13" s="5" t="s">
        <v>1051</v>
      </c>
      <c r="G13" s="5" t="s">
        <v>1052</v>
      </c>
    </row>
    <row r="14" customFormat="false" ht="15" hidden="false" customHeight="false" outlineLevel="0" collapsed="false">
      <c r="A14" s="5" t="s">
        <v>89</v>
      </c>
      <c r="B14" s="5" t="s">
        <v>90</v>
      </c>
      <c r="C14" s="5" t="s">
        <v>160</v>
      </c>
      <c r="D14" s="5" t="s">
        <v>159</v>
      </c>
      <c r="E14" s="5" t="s">
        <v>98</v>
      </c>
      <c r="F14" s="5" t="s">
        <v>1051</v>
      </c>
      <c r="G14" s="5" t="s">
        <v>1052</v>
      </c>
    </row>
    <row r="15" customFormat="false" ht="15" hidden="false" customHeight="false" outlineLevel="0" collapsed="false">
      <c r="A15" s="5" t="s">
        <v>89</v>
      </c>
      <c r="B15" s="5" t="s">
        <v>90</v>
      </c>
      <c r="C15" s="5" t="s">
        <v>161</v>
      </c>
      <c r="D15" s="5" t="s">
        <v>159</v>
      </c>
      <c r="E15" s="5" t="s">
        <v>143</v>
      </c>
      <c r="F15" s="5" t="s">
        <v>1051</v>
      </c>
      <c r="G15" s="5" t="s">
        <v>1052</v>
      </c>
    </row>
    <row r="16" customFormat="false" ht="15" hidden="false" customHeight="false" outlineLevel="0" collapsed="false">
      <c r="A16" s="5" t="s">
        <v>89</v>
      </c>
      <c r="B16" s="5" t="s">
        <v>90</v>
      </c>
      <c r="C16" s="5" t="s">
        <v>162</v>
      </c>
      <c r="D16" s="5" t="s">
        <v>159</v>
      </c>
      <c r="E16" s="5" t="s">
        <v>145</v>
      </c>
      <c r="F16" s="5" t="s">
        <v>1051</v>
      </c>
      <c r="G16" s="5" t="s">
        <v>1052</v>
      </c>
    </row>
    <row r="17" customFormat="false" ht="15" hidden="false" customHeight="false" outlineLevel="0" collapsed="false">
      <c r="A17" s="5" t="s">
        <v>89</v>
      </c>
      <c r="B17" s="5" t="s">
        <v>90</v>
      </c>
      <c r="C17" s="5" t="s">
        <v>163</v>
      </c>
      <c r="D17" s="5" t="s">
        <v>159</v>
      </c>
      <c r="E17" s="5" t="s">
        <v>147</v>
      </c>
      <c r="F17" s="5" t="s">
        <v>1051</v>
      </c>
      <c r="G17" s="5" t="s">
        <v>1052</v>
      </c>
    </row>
    <row r="18" customFormat="false" ht="15" hidden="false" customHeight="false" outlineLevel="0" collapsed="false">
      <c r="A18" s="5" t="s">
        <v>89</v>
      </c>
      <c r="B18" s="5" t="s">
        <v>90</v>
      </c>
      <c r="C18" s="5" t="s">
        <v>164</v>
      </c>
      <c r="D18" s="5" t="s">
        <v>159</v>
      </c>
      <c r="E18" s="5" t="s">
        <v>149</v>
      </c>
      <c r="F18" s="5" t="s">
        <v>1051</v>
      </c>
      <c r="G18" s="5" t="s">
        <v>1052</v>
      </c>
    </row>
    <row r="19" customFormat="false" ht="15" hidden="false" customHeight="false" outlineLevel="0" collapsed="false">
      <c r="A19" s="5" t="s">
        <v>89</v>
      </c>
      <c r="B19" s="5" t="s">
        <v>90</v>
      </c>
      <c r="C19" s="5" t="s">
        <v>165</v>
      </c>
      <c r="D19" s="5" t="s">
        <v>159</v>
      </c>
      <c r="E19" s="5" t="s">
        <v>151</v>
      </c>
      <c r="F19" s="5" t="s">
        <v>1051</v>
      </c>
      <c r="G19" s="5" t="s">
        <v>1052</v>
      </c>
    </row>
    <row r="20" customFormat="false" ht="15" hidden="false" customHeight="false" outlineLevel="0" collapsed="false">
      <c r="A20" s="5" t="s">
        <v>89</v>
      </c>
      <c r="B20" s="5" t="s">
        <v>90</v>
      </c>
      <c r="C20" s="5" t="s">
        <v>166</v>
      </c>
      <c r="D20" s="5" t="s">
        <v>159</v>
      </c>
      <c r="E20" s="5" t="s">
        <v>153</v>
      </c>
      <c r="F20" s="5" t="s">
        <v>1051</v>
      </c>
      <c r="G20" s="5" t="s">
        <v>1052</v>
      </c>
    </row>
    <row r="21" customFormat="false" ht="15" hidden="false" customHeight="false" outlineLevel="0" collapsed="false">
      <c r="A21" s="5" t="s">
        <v>89</v>
      </c>
      <c r="B21" s="5" t="s">
        <v>90</v>
      </c>
      <c r="C21" s="5" t="s">
        <v>167</v>
      </c>
      <c r="D21" s="5" t="s">
        <v>159</v>
      </c>
      <c r="E21" s="5" t="s">
        <v>155</v>
      </c>
      <c r="F21" s="5" t="s">
        <v>1051</v>
      </c>
      <c r="G21" s="5" t="s">
        <v>1052</v>
      </c>
    </row>
    <row r="22" customFormat="false" ht="15" hidden="false" customHeight="false" outlineLevel="0" collapsed="false">
      <c r="A22" s="5" t="s">
        <v>89</v>
      </c>
      <c r="B22" s="5" t="s">
        <v>90</v>
      </c>
      <c r="C22" s="5" t="s">
        <v>168</v>
      </c>
      <c r="D22" s="5" t="s">
        <v>159</v>
      </c>
      <c r="E22" s="5" t="s">
        <v>157</v>
      </c>
      <c r="F22" s="5" t="s">
        <v>1051</v>
      </c>
      <c r="G22" s="5" t="s">
        <v>1052</v>
      </c>
    </row>
    <row r="23" customFormat="false" ht="15" hidden="false" customHeight="false" outlineLevel="0" collapsed="false">
      <c r="A23" s="5" t="s">
        <v>89</v>
      </c>
      <c r="B23" s="5" t="s">
        <v>90</v>
      </c>
      <c r="C23" s="5" t="s">
        <v>169</v>
      </c>
      <c r="D23" s="5" t="s">
        <v>159</v>
      </c>
      <c r="E23" s="5" t="s">
        <v>95</v>
      </c>
      <c r="F23" s="5" t="s">
        <v>1053</v>
      </c>
      <c r="G23" s="5" t="s">
        <v>1052</v>
      </c>
    </row>
    <row r="24" customFormat="false" ht="15" hidden="false" customHeight="false" outlineLevel="0" collapsed="false">
      <c r="A24" s="5" t="s">
        <v>89</v>
      </c>
      <c r="B24" s="5" t="s">
        <v>90</v>
      </c>
      <c r="C24" s="5" t="s">
        <v>170</v>
      </c>
      <c r="D24" s="5" t="s">
        <v>171</v>
      </c>
      <c r="E24" s="5" t="s">
        <v>93</v>
      </c>
      <c r="F24" s="5" t="s">
        <v>1051</v>
      </c>
      <c r="G24" s="5" t="s">
        <v>1052</v>
      </c>
    </row>
    <row r="25" customFormat="false" ht="15" hidden="false" customHeight="false" outlineLevel="0" collapsed="false">
      <c r="A25" s="5" t="s">
        <v>89</v>
      </c>
      <c r="B25" s="5" t="s">
        <v>90</v>
      </c>
      <c r="C25" s="5" t="s">
        <v>172</v>
      </c>
      <c r="D25" s="5" t="s">
        <v>171</v>
      </c>
      <c r="E25" s="5" t="s">
        <v>98</v>
      </c>
      <c r="F25" s="5" t="s">
        <v>1051</v>
      </c>
      <c r="G25" s="5" t="s">
        <v>1052</v>
      </c>
    </row>
    <row r="26" customFormat="false" ht="15" hidden="false" customHeight="false" outlineLevel="0" collapsed="false">
      <c r="A26" s="5" t="s">
        <v>89</v>
      </c>
      <c r="B26" s="5" t="s">
        <v>90</v>
      </c>
      <c r="C26" s="5" t="s">
        <v>173</v>
      </c>
      <c r="D26" s="5" t="s">
        <v>171</v>
      </c>
      <c r="E26" s="5" t="s">
        <v>143</v>
      </c>
      <c r="F26" s="5" t="s">
        <v>1051</v>
      </c>
      <c r="G26" s="5" t="s">
        <v>1052</v>
      </c>
    </row>
    <row r="27" customFormat="false" ht="15" hidden="false" customHeight="false" outlineLevel="0" collapsed="false">
      <c r="A27" s="5" t="s">
        <v>89</v>
      </c>
      <c r="B27" s="5" t="s">
        <v>90</v>
      </c>
      <c r="C27" s="5" t="s">
        <v>174</v>
      </c>
      <c r="D27" s="5" t="s">
        <v>171</v>
      </c>
      <c r="E27" s="5" t="s">
        <v>145</v>
      </c>
      <c r="F27" s="5" t="s">
        <v>1051</v>
      </c>
      <c r="G27" s="5" t="s">
        <v>1052</v>
      </c>
    </row>
    <row r="28" customFormat="false" ht="15" hidden="false" customHeight="false" outlineLevel="0" collapsed="false">
      <c r="A28" s="5" t="s">
        <v>89</v>
      </c>
      <c r="B28" s="5" t="s">
        <v>90</v>
      </c>
      <c r="C28" s="5" t="s">
        <v>175</v>
      </c>
      <c r="D28" s="5" t="s">
        <v>171</v>
      </c>
      <c r="E28" s="5" t="s">
        <v>147</v>
      </c>
      <c r="F28" s="5" t="s">
        <v>1051</v>
      </c>
      <c r="G28" s="5" t="s">
        <v>1052</v>
      </c>
    </row>
    <row r="29" customFormat="false" ht="15" hidden="false" customHeight="false" outlineLevel="0" collapsed="false">
      <c r="A29" s="5" t="s">
        <v>89</v>
      </c>
      <c r="B29" s="5" t="s">
        <v>90</v>
      </c>
      <c r="C29" s="5" t="s">
        <v>176</v>
      </c>
      <c r="D29" s="5" t="s">
        <v>171</v>
      </c>
      <c r="E29" s="5" t="s">
        <v>149</v>
      </c>
      <c r="F29" s="5" t="s">
        <v>1051</v>
      </c>
      <c r="G29" s="5" t="s">
        <v>1052</v>
      </c>
    </row>
    <row r="30" customFormat="false" ht="15" hidden="false" customHeight="false" outlineLevel="0" collapsed="false">
      <c r="A30" s="5" t="s">
        <v>89</v>
      </c>
      <c r="B30" s="5" t="s">
        <v>90</v>
      </c>
      <c r="C30" s="5" t="s">
        <v>177</v>
      </c>
      <c r="D30" s="5" t="s">
        <v>171</v>
      </c>
      <c r="E30" s="5" t="s">
        <v>151</v>
      </c>
      <c r="F30" s="5" t="s">
        <v>1051</v>
      </c>
      <c r="G30" s="5" t="s">
        <v>1052</v>
      </c>
    </row>
    <row r="31" customFormat="false" ht="15" hidden="false" customHeight="false" outlineLevel="0" collapsed="false">
      <c r="A31" s="5" t="s">
        <v>89</v>
      </c>
      <c r="B31" s="5" t="s">
        <v>90</v>
      </c>
      <c r="C31" s="5" t="s">
        <v>178</v>
      </c>
      <c r="D31" s="5" t="s">
        <v>171</v>
      </c>
      <c r="E31" s="5" t="s">
        <v>153</v>
      </c>
      <c r="F31" s="5" t="s">
        <v>1051</v>
      </c>
      <c r="G31" s="5" t="s">
        <v>1052</v>
      </c>
    </row>
    <row r="32" customFormat="false" ht="15" hidden="false" customHeight="false" outlineLevel="0" collapsed="false">
      <c r="A32" s="5" t="s">
        <v>89</v>
      </c>
      <c r="B32" s="5" t="s">
        <v>90</v>
      </c>
      <c r="C32" s="5" t="s">
        <v>179</v>
      </c>
      <c r="D32" s="5" t="s">
        <v>171</v>
      </c>
      <c r="E32" s="5" t="s">
        <v>155</v>
      </c>
      <c r="F32" s="5" t="s">
        <v>1051</v>
      </c>
      <c r="G32" s="5" t="s">
        <v>1052</v>
      </c>
    </row>
    <row r="33" customFormat="false" ht="15" hidden="false" customHeight="false" outlineLevel="0" collapsed="false">
      <c r="A33" s="5" t="s">
        <v>89</v>
      </c>
      <c r="B33" s="5" t="s">
        <v>90</v>
      </c>
      <c r="C33" s="5" t="s">
        <v>180</v>
      </c>
      <c r="D33" s="5" t="s">
        <v>171</v>
      </c>
      <c r="E33" s="5" t="s">
        <v>157</v>
      </c>
      <c r="F33" s="5" t="s">
        <v>1051</v>
      </c>
      <c r="G33" s="5" t="s">
        <v>1052</v>
      </c>
    </row>
    <row r="34" customFormat="false" ht="15" hidden="false" customHeight="false" outlineLevel="0" collapsed="false">
      <c r="A34" s="5" t="s">
        <v>89</v>
      </c>
      <c r="B34" s="5" t="s">
        <v>90</v>
      </c>
      <c r="C34" s="5" t="s">
        <v>181</v>
      </c>
      <c r="D34" s="5" t="s">
        <v>171</v>
      </c>
      <c r="E34" s="5" t="s">
        <v>95</v>
      </c>
      <c r="F34" s="5" t="s">
        <v>1053</v>
      </c>
      <c r="G34" s="5" t="s">
        <v>1052</v>
      </c>
    </row>
    <row r="35" customFormat="false" ht="15" hidden="false" customHeight="false" outlineLevel="0" collapsed="false">
      <c r="A35" s="5" t="s">
        <v>89</v>
      </c>
      <c r="B35" s="5" t="s">
        <v>90</v>
      </c>
      <c r="C35" s="5" t="s">
        <v>182</v>
      </c>
      <c r="D35" s="5" t="s">
        <v>183</v>
      </c>
      <c r="E35" s="5" t="s">
        <v>93</v>
      </c>
      <c r="F35" s="5" t="s">
        <v>1051</v>
      </c>
      <c r="G35" s="5" t="s">
        <v>1052</v>
      </c>
    </row>
    <row r="36" customFormat="false" ht="15" hidden="false" customHeight="false" outlineLevel="0" collapsed="false">
      <c r="A36" s="5" t="s">
        <v>89</v>
      </c>
      <c r="B36" s="5" t="s">
        <v>90</v>
      </c>
      <c r="C36" s="5" t="s">
        <v>184</v>
      </c>
      <c r="D36" s="5" t="s">
        <v>183</v>
      </c>
      <c r="E36" s="5" t="s">
        <v>98</v>
      </c>
      <c r="F36" s="5" t="s">
        <v>1051</v>
      </c>
      <c r="G36" s="5" t="s">
        <v>1052</v>
      </c>
    </row>
    <row r="37" customFormat="false" ht="15" hidden="false" customHeight="false" outlineLevel="0" collapsed="false">
      <c r="A37" s="5" t="s">
        <v>89</v>
      </c>
      <c r="B37" s="5" t="s">
        <v>90</v>
      </c>
      <c r="C37" s="5" t="s">
        <v>185</v>
      </c>
      <c r="D37" s="5" t="s">
        <v>183</v>
      </c>
      <c r="E37" s="5" t="s">
        <v>143</v>
      </c>
      <c r="F37" s="5" t="s">
        <v>1051</v>
      </c>
      <c r="G37" s="5" t="s">
        <v>1052</v>
      </c>
    </row>
    <row r="38" customFormat="false" ht="15" hidden="false" customHeight="false" outlineLevel="0" collapsed="false">
      <c r="A38" s="5" t="s">
        <v>89</v>
      </c>
      <c r="B38" s="5" t="s">
        <v>90</v>
      </c>
      <c r="C38" s="5" t="s">
        <v>186</v>
      </c>
      <c r="D38" s="5" t="s">
        <v>183</v>
      </c>
      <c r="E38" s="5" t="s">
        <v>145</v>
      </c>
      <c r="F38" s="5" t="s">
        <v>1051</v>
      </c>
      <c r="G38" s="5" t="s">
        <v>1052</v>
      </c>
    </row>
    <row r="39" customFormat="false" ht="15" hidden="false" customHeight="false" outlineLevel="0" collapsed="false">
      <c r="A39" s="5" t="s">
        <v>89</v>
      </c>
      <c r="B39" s="5" t="s">
        <v>90</v>
      </c>
      <c r="C39" s="5" t="s">
        <v>187</v>
      </c>
      <c r="D39" s="5" t="s">
        <v>183</v>
      </c>
      <c r="E39" s="5" t="s">
        <v>147</v>
      </c>
      <c r="F39" s="5" t="s">
        <v>1051</v>
      </c>
      <c r="G39" s="5" t="s">
        <v>1052</v>
      </c>
    </row>
    <row r="40" customFormat="false" ht="15" hidden="false" customHeight="false" outlineLevel="0" collapsed="false">
      <c r="A40" s="5" t="s">
        <v>89</v>
      </c>
      <c r="B40" s="5" t="s">
        <v>90</v>
      </c>
      <c r="C40" s="5" t="s">
        <v>188</v>
      </c>
      <c r="D40" s="5" t="s">
        <v>183</v>
      </c>
      <c r="E40" s="5" t="s">
        <v>149</v>
      </c>
      <c r="F40" s="5" t="s">
        <v>1051</v>
      </c>
      <c r="G40" s="5" t="s">
        <v>1052</v>
      </c>
    </row>
    <row r="41" customFormat="false" ht="15" hidden="false" customHeight="false" outlineLevel="0" collapsed="false">
      <c r="A41" s="5" t="s">
        <v>89</v>
      </c>
      <c r="B41" s="5" t="s">
        <v>90</v>
      </c>
      <c r="C41" s="5" t="s">
        <v>189</v>
      </c>
      <c r="D41" s="5" t="s">
        <v>183</v>
      </c>
      <c r="E41" s="5" t="s">
        <v>151</v>
      </c>
      <c r="F41" s="5" t="s">
        <v>1051</v>
      </c>
      <c r="G41" s="5" t="s">
        <v>1052</v>
      </c>
    </row>
    <row r="42" customFormat="false" ht="15" hidden="false" customHeight="false" outlineLevel="0" collapsed="false">
      <c r="A42" s="5" t="s">
        <v>89</v>
      </c>
      <c r="B42" s="5" t="s">
        <v>90</v>
      </c>
      <c r="C42" s="5" t="s">
        <v>190</v>
      </c>
      <c r="D42" s="5" t="s">
        <v>183</v>
      </c>
      <c r="E42" s="5" t="s">
        <v>153</v>
      </c>
      <c r="F42" s="5" t="s">
        <v>1051</v>
      </c>
      <c r="G42" s="5" t="s">
        <v>1052</v>
      </c>
    </row>
    <row r="43" customFormat="false" ht="15" hidden="false" customHeight="false" outlineLevel="0" collapsed="false">
      <c r="A43" s="5" t="s">
        <v>89</v>
      </c>
      <c r="B43" s="5" t="s">
        <v>90</v>
      </c>
      <c r="C43" s="5" t="s">
        <v>191</v>
      </c>
      <c r="D43" s="5" t="s">
        <v>183</v>
      </c>
      <c r="E43" s="5" t="s">
        <v>155</v>
      </c>
      <c r="F43" s="5" t="s">
        <v>1051</v>
      </c>
      <c r="G43" s="5" t="s">
        <v>1052</v>
      </c>
    </row>
    <row r="44" customFormat="false" ht="15" hidden="false" customHeight="false" outlineLevel="0" collapsed="false">
      <c r="A44" s="5" t="s">
        <v>89</v>
      </c>
      <c r="B44" s="5" t="s">
        <v>90</v>
      </c>
      <c r="C44" s="5" t="s">
        <v>192</v>
      </c>
      <c r="D44" s="5" t="s">
        <v>183</v>
      </c>
      <c r="E44" s="5" t="s">
        <v>157</v>
      </c>
      <c r="F44" s="5" t="s">
        <v>1051</v>
      </c>
      <c r="G44" s="5" t="s">
        <v>1052</v>
      </c>
    </row>
    <row r="45" customFormat="false" ht="15" hidden="false" customHeight="false" outlineLevel="0" collapsed="false">
      <c r="A45" s="5" t="s">
        <v>89</v>
      </c>
      <c r="B45" s="5" t="s">
        <v>90</v>
      </c>
      <c r="C45" s="5" t="s">
        <v>193</v>
      </c>
      <c r="D45" s="5" t="s">
        <v>183</v>
      </c>
      <c r="E45" s="5" t="s">
        <v>95</v>
      </c>
      <c r="F45" s="5" t="s">
        <v>1053</v>
      </c>
      <c r="G45" s="5" t="s">
        <v>1052</v>
      </c>
    </row>
    <row r="46" customFormat="false" ht="15" hidden="false" customHeight="false" outlineLevel="0" collapsed="false">
      <c r="A46" s="5" t="s">
        <v>89</v>
      </c>
      <c r="B46" s="5" t="s">
        <v>90</v>
      </c>
      <c r="C46" s="5" t="s">
        <v>194</v>
      </c>
      <c r="D46" s="5" t="s">
        <v>195</v>
      </c>
      <c r="E46" s="5" t="s">
        <v>93</v>
      </c>
      <c r="F46" s="5" t="s">
        <v>1051</v>
      </c>
      <c r="G46" s="5" t="s">
        <v>1052</v>
      </c>
    </row>
    <row r="47" customFormat="false" ht="15" hidden="false" customHeight="false" outlineLevel="0" collapsed="false">
      <c r="A47" s="5" t="s">
        <v>89</v>
      </c>
      <c r="B47" s="5" t="s">
        <v>90</v>
      </c>
      <c r="C47" s="5" t="s">
        <v>196</v>
      </c>
      <c r="D47" s="5" t="s">
        <v>195</v>
      </c>
      <c r="E47" s="5" t="s">
        <v>98</v>
      </c>
      <c r="F47" s="5" t="s">
        <v>1051</v>
      </c>
      <c r="G47" s="5" t="s">
        <v>1052</v>
      </c>
    </row>
    <row r="48" customFormat="false" ht="15" hidden="false" customHeight="false" outlineLevel="0" collapsed="false">
      <c r="A48" s="5" t="s">
        <v>89</v>
      </c>
      <c r="B48" s="5" t="s">
        <v>90</v>
      </c>
      <c r="C48" s="5" t="s">
        <v>197</v>
      </c>
      <c r="D48" s="5" t="s">
        <v>195</v>
      </c>
      <c r="E48" s="5" t="s">
        <v>143</v>
      </c>
      <c r="F48" s="5" t="s">
        <v>1051</v>
      </c>
      <c r="G48" s="5" t="s">
        <v>1052</v>
      </c>
    </row>
    <row r="49" customFormat="false" ht="15" hidden="false" customHeight="false" outlineLevel="0" collapsed="false">
      <c r="A49" s="5" t="s">
        <v>89</v>
      </c>
      <c r="B49" s="5" t="s">
        <v>90</v>
      </c>
      <c r="C49" s="5" t="s">
        <v>198</v>
      </c>
      <c r="D49" s="5" t="s">
        <v>195</v>
      </c>
      <c r="E49" s="5" t="s">
        <v>145</v>
      </c>
      <c r="F49" s="5" t="s">
        <v>1051</v>
      </c>
      <c r="G49" s="5" t="s">
        <v>1052</v>
      </c>
    </row>
    <row r="50" customFormat="false" ht="15" hidden="false" customHeight="false" outlineLevel="0" collapsed="false">
      <c r="A50" s="5" t="s">
        <v>89</v>
      </c>
      <c r="B50" s="5" t="s">
        <v>90</v>
      </c>
      <c r="C50" s="5" t="s">
        <v>199</v>
      </c>
      <c r="D50" s="5" t="s">
        <v>195</v>
      </c>
      <c r="E50" s="5" t="s">
        <v>147</v>
      </c>
      <c r="F50" s="5" t="s">
        <v>1051</v>
      </c>
      <c r="G50" s="5" t="s">
        <v>1052</v>
      </c>
    </row>
    <row r="51" customFormat="false" ht="15" hidden="false" customHeight="false" outlineLevel="0" collapsed="false">
      <c r="A51" s="5" t="s">
        <v>89</v>
      </c>
      <c r="B51" s="5" t="s">
        <v>90</v>
      </c>
      <c r="C51" s="5" t="s">
        <v>200</v>
      </c>
      <c r="D51" s="5" t="s">
        <v>195</v>
      </c>
      <c r="E51" s="5" t="s">
        <v>149</v>
      </c>
      <c r="F51" s="5" t="s">
        <v>1051</v>
      </c>
      <c r="G51" s="5" t="s">
        <v>1052</v>
      </c>
    </row>
    <row r="52" customFormat="false" ht="15" hidden="false" customHeight="false" outlineLevel="0" collapsed="false">
      <c r="A52" s="5" t="s">
        <v>89</v>
      </c>
      <c r="B52" s="5" t="s">
        <v>90</v>
      </c>
      <c r="C52" s="5" t="s">
        <v>201</v>
      </c>
      <c r="D52" s="5" t="s">
        <v>195</v>
      </c>
      <c r="E52" s="5" t="s">
        <v>151</v>
      </c>
      <c r="F52" s="5" t="s">
        <v>1051</v>
      </c>
      <c r="G52" s="5" t="s">
        <v>1052</v>
      </c>
    </row>
    <row r="53" customFormat="false" ht="15" hidden="false" customHeight="false" outlineLevel="0" collapsed="false">
      <c r="A53" s="5" t="s">
        <v>89</v>
      </c>
      <c r="B53" s="5" t="s">
        <v>90</v>
      </c>
      <c r="C53" s="5" t="s">
        <v>202</v>
      </c>
      <c r="D53" s="5" t="s">
        <v>195</v>
      </c>
      <c r="E53" s="5" t="s">
        <v>153</v>
      </c>
      <c r="F53" s="5" t="s">
        <v>1051</v>
      </c>
      <c r="G53" s="5" t="s">
        <v>1052</v>
      </c>
    </row>
    <row r="54" customFormat="false" ht="15" hidden="false" customHeight="false" outlineLevel="0" collapsed="false">
      <c r="A54" s="5" t="s">
        <v>89</v>
      </c>
      <c r="B54" s="5" t="s">
        <v>90</v>
      </c>
      <c r="C54" s="5" t="s">
        <v>203</v>
      </c>
      <c r="D54" s="5" t="s">
        <v>195</v>
      </c>
      <c r="E54" s="5" t="s">
        <v>155</v>
      </c>
      <c r="F54" s="5" t="s">
        <v>1051</v>
      </c>
      <c r="G54" s="5" t="s">
        <v>1052</v>
      </c>
    </row>
    <row r="55" customFormat="false" ht="15" hidden="false" customHeight="false" outlineLevel="0" collapsed="false">
      <c r="A55" s="5" t="s">
        <v>89</v>
      </c>
      <c r="B55" s="5" t="s">
        <v>90</v>
      </c>
      <c r="C55" s="5" t="s">
        <v>204</v>
      </c>
      <c r="D55" s="5" t="s">
        <v>195</v>
      </c>
      <c r="E55" s="5" t="s">
        <v>157</v>
      </c>
      <c r="F55" s="5" t="s">
        <v>1051</v>
      </c>
      <c r="G55" s="5" t="s">
        <v>1052</v>
      </c>
    </row>
    <row r="56" customFormat="false" ht="15" hidden="false" customHeight="false" outlineLevel="0" collapsed="false">
      <c r="A56" s="5" t="s">
        <v>89</v>
      </c>
      <c r="B56" s="5" t="s">
        <v>90</v>
      </c>
      <c r="C56" s="5" t="s">
        <v>205</v>
      </c>
      <c r="D56" s="5" t="s">
        <v>195</v>
      </c>
      <c r="E56" s="5" t="s">
        <v>95</v>
      </c>
      <c r="F56" s="5" t="s">
        <v>1053</v>
      </c>
      <c r="G56" s="5" t="s">
        <v>1052</v>
      </c>
    </row>
    <row r="57" customFormat="false" ht="15" hidden="false" customHeight="false" outlineLevel="0" collapsed="false">
      <c r="A57" s="5" t="s">
        <v>89</v>
      </c>
      <c r="B57" s="5" t="s">
        <v>90</v>
      </c>
      <c r="C57" s="5" t="s">
        <v>206</v>
      </c>
      <c r="D57" s="5" t="s">
        <v>207</v>
      </c>
      <c r="E57" s="5" t="s">
        <v>93</v>
      </c>
      <c r="F57" s="5" t="s">
        <v>1051</v>
      </c>
      <c r="G57" s="5" t="s">
        <v>1052</v>
      </c>
    </row>
    <row r="58" customFormat="false" ht="15" hidden="false" customHeight="false" outlineLevel="0" collapsed="false">
      <c r="A58" s="5" t="s">
        <v>89</v>
      </c>
      <c r="B58" s="5" t="s">
        <v>90</v>
      </c>
      <c r="C58" s="5" t="s">
        <v>208</v>
      </c>
      <c r="D58" s="5" t="s">
        <v>207</v>
      </c>
      <c r="E58" s="5" t="s">
        <v>98</v>
      </c>
      <c r="F58" s="5" t="s">
        <v>1051</v>
      </c>
      <c r="G58" s="5" t="s">
        <v>1052</v>
      </c>
    </row>
    <row r="59" customFormat="false" ht="15" hidden="false" customHeight="false" outlineLevel="0" collapsed="false">
      <c r="A59" s="5" t="s">
        <v>89</v>
      </c>
      <c r="B59" s="5" t="s">
        <v>90</v>
      </c>
      <c r="C59" s="5" t="s">
        <v>209</v>
      </c>
      <c r="D59" s="5" t="s">
        <v>207</v>
      </c>
      <c r="E59" s="5" t="s">
        <v>143</v>
      </c>
      <c r="F59" s="5" t="s">
        <v>1051</v>
      </c>
      <c r="G59" s="5" t="s">
        <v>1052</v>
      </c>
    </row>
    <row r="60" customFormat="false" ht="15" hidden="false" customHeight="false" outlineLevel="0" collapsed="false">
      <c r="A60" s="5" t="s">
        <v>89</v>
      </c>
      <c r="B60" s="5" t="s">
        <v>90</v>
      </c>
      <c r="C60" s="5" t="s">
        <v>210</v>
      </c>
      <c r="D60" s="5" t="s">
        <v>207</v>
      </c>
      <c r="E60" s="5" t="s">
        <v>145</v>
      </c>
      <c r="F60" s="5" t="s">
        <v>1051</v>
      </c>
      <c r="G60" s="5" t="s">
        <v>1052</v>
      </c>
    </row>
    <row r="61" customFormat="false" ht="15" hidden="false" customHeight="false" outlineLevel="0" collapsed="false">
      <c r="A61" s="5" t="s">
        <v>89</v>
      </c>
      <c r="B61" s="5" t="s">
        <v>90</v>
      </c>
      <c r="C61" s="5" t="s">
        <v>211</v>
      </c>
      <c r="D61" s="5" t="s">
        <v>207</v>
      </c>
      <c r="E61" s="5" t="s">
        <v>147</v>
      </c>
      <c r="F61" s="5" t="s">
        <v>1051</v>
      </c>
      <c r="G61" s="5" t="s">
        <v>1052</v>
      </c>
    </row>
    <row r="62" customFormat="false" ht="15" hidden="false" customHeight="false" outlineLevel="0" collapsed="false">
      <c r="A62" s="5" t="s">
        <v>89</v>
      </c>
      <c r="B62" s="5" t="s">
        <v>90</v>
      </c>
      <c r="C62" s="5" t="s">
        <v>212</v>
      </c>
      <c r="D62" s="5" t="s">
        <v>207</v>
      </c>
      <c r="E62" s="5" t="s">
        <v>149</v>
      </c>
      <c r="F62" s="5" t="s">
        <v>1051</v>
      </c>
      <c r="G62" s="5" t="s">
        <v>1052</v>
      </c>
    </row>
    <row r="63" customFormat="false" ht="15" hidden="false" customHeight="false" outlineLevel="0" collapsed="false">
      <c r="A63" s="5" t="s">
        <v>89</v>
      </c>
      <c r="B63" s="5" t="s">
        <v>90</v>
      </c>
      <c r="C63" s="5" t="s">
        <v>213</v>
      </c>
      <c r="D63" s="5" t="s">
        <v>207</v>
      </c>
      <c r="E63" s="5" t="s">
        <v>151</v>
      </c>
      <c r="F63" s="5" t="s">
        <v>1051</v>
      </c>
      <c r="G63" s="5" t="s">
        <v>1052</v>
      </c>
    </row>
    <row r="64" customFormat="false" ht="15" hidden="false" customHeight="false" outlineLevel="0" collapsed="false">
      <c r="A64" s="5" t="s">
        <v>89</v>
      </c>
      <c r="B64" s="5" t="s">
        <v>90</v>
      </c>
      <c r="C64" s="5" t="s">
        <v>214</v>
      </c>
      <c r="D64" s="5" t="s">
        <v>207</v>
      </c>
      <c r="E64" s="5" t="s">
        <v>153</v>
      </c>
      <c r="F64" s="5" t="s">
        <v>1051</v>
      </c>
      <c r="G64" s="5" t="s">
        <v>1052</v>
      </c>
    </row>
    <row r="65" customFormat="false" ht="15" hidden="false" customHeight="false" outlineLevel="0" collapsed="false">
      <c r="A65" s="5" t="s">
        <v>89</v>
      </c>
      <c r="B65" s="5" t="s">
        <v>90</v>
      </c>
      <c r="C65" s="5" t="s">
        <v>215</v>
      </c>
      <c r="D65" s="5" t="s">
        <v>207</v>
      </c>
      <c r="E65" s="5" t="s">
        <v>155</v>
      </c>
      <c r="F65" s="5" t="s">
        <v>1051</v>
      </c>
      <c r="G65" s="5" t="s">
        <v>1052</v>
      </c>
    </row>
    <row r="66" customFormat="false" ht="15" hidden="false" customHeight="false" outlineLevel="0" collapsed="false">
      <c r="A66" s="5" t="s">
        <v>89</v>
      </c>
      <c r="B66" s="5" t="s">
        <v>90</v>
      </c>
      <c r="C66" s="5" t="s">
        <v>216</v>
      </c>
      <c r="D66" s="5" t="s">
        <v>207</v>
      </c>
      <c r="E66" s="5" t="s">
        <v>157</v>
      </c>
      <c r="F66" s="5" t="s">
        <v>1051</v>
      </c>
      <c r="G66" s="5" t="s">
        <v>1052</v>
      </c>
    </row>
    <row r="67" customFormat="false" ht="15" hidden="false" customHeight="false" outlineLevel="0" collapsed="false">
      <c r="A67" s="5" t="s">
        <v>89</v>
      </c>
      <c r="B67" s="5" t="s">
        <v>90</v>
      </c>
      <c r="C67" s="5" t="s">
        <v>217</v>
      </c>
      <c r="D67" s="5" t="s">
        <v>207</v>
      </c>
      <c r="E67" s="5" t="s">
        <v>95</v>
      </c>
      <c r="F67" s="5" t="s">
        <v>1053</v>
      </c>
      <c r="G67" s="5" t="s">
        <v>1052</v>
      </c>
    </row>
    <row r="68" customFormat="false" ht="15" hidden="false" customHeight="false" outlineLevel="0" collapsed="false">
      <c r="A68" s="5" t="s">
        <v>89</v>
      </c>
      <c r="B68" s="5" t="s">
        <v>90</v>
      </c>
      <c r="C68" s="5" t="s">
        <v>218</v>
      </c>
      <c r="D68" s="5" t="s">
        <v>219</v>
      </c>
      <c r="E68" s="5" t="s">
        <v>93</v>
      </c>
      <c r="F68" s="5" t="s">
        <v>1051</v>
      </c>
      <c r="G68" s="5" t="s">
        <v>1052</v>
      </c>
    </row>
    <row r="69" customFormat="false" ht="15" hidden="false" customHeight="false" outlineLevel="0" collapsed="false">
      <c r="A69" s="5" t="s">
        <v>89</v>
      </c>
      <c r="B69" s="5" t="s">
        <v>90</v>
      </c>
      <c r="C69" s="5" t="s">
        <v>220</v>
      </c>
      <c r="D69" s="5" t="s">
        <v>219</v>
      </c>
      <c r="E69" s="5" t="s">
        <v>98</v>
      </c>
      <c r="F69" s="5" t="s">
        <v>1051</v>
      </c>
      <c r="G69" s="5" t="s">
        <v>1052</v>
      </c>
    </row>
    <row r="70" customFormat="false" ht="15" hidden="false" customHeight="false" outlineLevel="0" collapsed="false">
      <c r="A70" s="5" t="s">
        <v>89</v>
      </c>
      <c r="B70" s="5" t="s">
        <v>90</v>
      </c>
      <c r="C70" s="5" t="s">
        <v>221</v>
      </c>
      <c r="D70" s="5" t="s">
        <v>219</v>
      </c>
      <c r="E70" s="5" t="s">
        <v>143</v>
      </c>
      <c r="F70" s="5" t="s">
        <v>1051</v>
      </c>
      <c r="G70" s="5" t="s">
        <v>1052</v>
      </c>
    </row>
    <row r="71" customFormat="false" ht="15" hidden="false" customHeight="false" outlineLevel="0" collapsed="false">
      <c r="A71" s="5" t="s">
        <v>89</v>
      </c>
      <c r="B71" s="5" t="s">
        <v>90</v>
      </c>
      <c r="C71" s="5" t="s">
        <v>222</v>
      </c>
      <c r="D71" s="5" t="s">
        <v>219</v>
      </c>
      <c r="E71" s="5" t="s">
        <v>145</v>
      </c>
      <c r="F71" s="5" t="s">
        <v>1051</v>
      </c>
      <c r="G71" s="5" t="s">
        <v>1052</v>
      </c>
    </row>
    <row r="72" customFormat="false" ht="15" hidden="false" customHeight="false" outlineLevel="0" collapsed="false">
      <c r="A72" s="5" t="s">
        <v>89</v>
      </c>
      <c r="B72" s="5" t="s">
        <v>90</v>
      </c>
      <c r="C72" s="5" t="s">
        <v>223</v>
      </c>
      <c r="D72" s="5" t="s">
        <v>219</v>
      </c>
      <c r="E72" s="5" t="s">
        <v>147</v>
      </c>
      <c r="F72" s="5" t="s">
        <v>1051</v>
      </c>
      <c r="G72" s="5" t="s">
        <v>1052</v>
      </c>
    </row>
    <row r="73" customFormat="false" ht="15" hidden="false" customHeight="false" outlineLevel="0" collapsed="false">
      <c r="A73" s="5" t="s">
        <v>89</v>
      </c>
      <c r="B73" s="5" t="s">
        <v>90</v>
      </c>
      <c r="C73" s="5" t="s">
        <v>224</v>
      </c>
      <c r="D73" s="5" t="s">
        <v>219</v>
      </c>
      <c r="E73" s="5" t="s">
        <v>149</v>
      </c>
      <c r="F73" s="5" t="s">
        <v>1051</v>
      </c>
      <c r="G73" s="5" t="s">
        <v>1052</v>
      </c>
    </row>
    <row r="74" customFormat="false" ht="15" hidden="false" customHeight="false" outlineLevel="0" collapsed="false">
      <c r="A74" s="5" t="s">
        <v>89</v>
      </c>
      <c r="B74" s="5" t="s">
        <v>90</v>
      </c>
      <c r="C74" s="5" t="s">
        <v>225</v>
      </c>
      <c r="D74" s="5" t="s">
        <v>219</v>
      </c>
      <c r="E74" s="5" t="s">
        <v>151</v>
      </c>
      <c r="F74" s="5" t="s">
        <v>1051</v>
      </c>
      <c r="G74" s="5" t="s">
        <v>1052</v>
      </c>
    </row>
    <row r="75" customFormat="false" ht="15" hidden="false" customHeight="false" outlineLevel="0" collapsed="false">
      <c r="A75" s="5" t="s">
        <v>89</v>
      </c>
      <c r="B75" s="5" t="s">
        <v>90</v>
      </c>
      <c r="C75" s="5" t="s">
        <v>226</v>
      </c>
      <c r="D75" s="5" t="s">
        <v>219</v>
      </c>
      <c r="E75" s="5" t="s">
        <v>153</v>
      </c>
      <c r="F75" s="5" t="s">
        <v>1051</v>
      </c>
      <c r="G75" s="5" t="s">
        <v>1052</v>
      </c>
    </row>
    <row r="76" customFormat="false" ht="15" hidden="false" customHeight="false" outlineLevel="0" collapsed="false">
      <c r="A76" s="5" t="s">
        <v>89</v>
      </c>
      <c r="B76" s="5" t="s">
        <v>90</v>
      </c>
      <c r="C76" s="5" t="s">
        <v>227</v>
      </c>
      <c r="D76" s="5" t="s">
        <v>219</v>
      </c>
      <c r="E76" s="5" t="s">
        <v>155</v>
      </c>
      <c r="F76" s="5" t="s">
        <v>1051</v>
      </c>
      <c r="G76" s="5" t="s">
        <v>1052</v>
      </c>
    </row>
    <row r="77" customFormat="false" ht="15" hidden="false" customHeight="false" outlineLevel="0" collapsed="false">
      <c r="A77" s="5" t="s">
        <v>89</v>
      </c>
      <c r="B77" s="5" t="s">
        <v>90</v>
      </c>
      <c r="C77" s="5" t="s">
        <v>228</v>
      </c>
      <c r="D77" s="5" t="s">
        <v>219</v>
      </c>
      <c r="E77" s="5" t="s">
        <v>157</v>
      </c>
      <c r="F77" s="5" t="s">
        <v>1051</v>
      </c>
      <c r="G77" s="5" t="s">
        <v>1052</v>
      </c>
    </row>
    <row r="78" customFormat="false" ht="15" hidden="false" customHeight="false" outlineLevel="0" collapsed="false">
      <c r="A78" s="5" t="s">
        <v>89</v>
      </c>
      <c r="B78" s="5" t="s">
        <v>90</v>
      </c>
      <c r="C78" s="5" t="s">
        <v>229</v>
      </c>
      <c r="D78" s="5" t="s">
        <v>219</v>
      </c>
      <c r="E78" s="5" t="s">
        <v>95</v>
      </c>
      <c r="F78" s="5" t="s">
        <v>1053</v>
      </c>
      <c r="G78" s="5" t="s">
        <v>1052</v>
      </c>
    </row>
    <row r="79" customFormat="false" ht="15" hidden="false" customHeight="false" outlineLevel="0" collapsed="false">
      <c r="A79" s="5" t="s">
        <v>89</v>
      </c>
      <c r="B79" s="5" t="s">
        <v>90</v>
      </c>
      <c r="C79" s="5" t="s">
        <v>230</v>
      </c>
      <c r="D79" s="5" t="s">
        <v>231</v>
      </c>
      <c r="E79" s="5" t="s">
        <v>93</v>
      </c>
      <c r="F79" s="5" t="s">
        <v>1051</v>
      </c>
      <c r="G79" s="5" t="s">
        <v>1052</v>
      </c>
    </row>
    <row r="80" customFormat="false" ht="15" hidden="false" customHeight="false" outlineLevel="0" collapsed="false">
      <c r="A80" s="5" t="s">
        <v>89</v>
      </c>
      <c r="B80" s="5" t="s">
        <v>90</v>
      </c>
      <c r="C80" s="5" t="s">
        <v>232</v>
      </c>
      <c r="D80" s="5" t="s">
        <v>231</v>
      </c>
      <c r="E80" s="5" t="s">
        <v>98</v>
      </c>
      <c r="F80" s="5" t="s">
        <v>1051</v>
      </c>
      <c r="G80" s="5" t="s">
        <v>1052</v>
      </c>
    </row>
    <row r="81" customFormat="false" ht="15" hidden="false" customHeight="false" outlineLevel="0" collapsed="false">
      <c r="A81" s="5" t="s">
        <v>89</v>
      </c>
      <c r="B81" s="5" t="s">
        <v>90</v>
      </c>
      <c r="C81" s="5" t="s">
        <v>233</v>
      </c>
      <c r="D81" s="5" t="s">
        <v>231</v>
      </c>
      <c r="E81" s="5" t="s">
        <v>143</v>
      </c>
      <c r="F81" s="5" t="s">
        <v>1051</v>
      </c>
      <c r="G81" s="5" t="s">
        <v>1052</v>
      </c>
    </row>
    <row r="82" customFormat="false" ht="15" hidden="false" customHeight="false" outlineLevel="0" collapsed="false">
      <c r="A82" s="5" t="s">
        <v>89</v>
      </c>
      <c r="B82" s="5" t="s">
        <v>90</v>
      </c>
      <c r="C82" s="5" t="s">
        <v>234</v>
      </c>
      <c r="D82" s="5" t="s">
        <v>231</v>
      </c>
      <c r="E82" s="5" t="s">
        <v>145</v>
      </c>
      <c r="F82" s="5" t="s">
        <v>1051</v>
      </c>
      <c r="G82" s="5" t="s">
        <v>1052</v>
      </c>
    </row>
    <row r="83" customFormat="false" ht="15" hidden="false" customHeight="false" outlineLevel="0" collapsed="false">
      <c r="A83" s="5" t="s">
        <v>89</v>
      </c>
      <c r="B83" s="5" t="s">
        <v>90</v>
      </c>
      <c r="C83" s="5" t="s">
        <v>235</v>
      </c>
      <c r="D83" s="5" t="s">
        <v>231</v>
      </c>
      <c r="E83" s="5" t="s">
        <v>147</v>
      </c>
      <c r="F83" s="5" t="s">
        <v>1051</v>
      </c>
      <c r="G83" s="5" t="s">
        <v>1052</v>
      </c>
    </row>
    <row r="84" customFormat="false" ht="15" hidden="false" customHeight="false" outlineLevel="0" collapsed="false">
      <c r="A84" s="5" t="s">
        <v>89</v>
      </c>
      <c r="B84" s="5" t="s">
        <v>90</v>
      </c>
      <c r="C84" s="5" t="s">
        <v>236</v>
      </c>
      <c r="D84" s="5" t="s">
        <v>231</v>
      </c>
      <c r="E84" s="5" t="s">
        <v>149</v>
      </c>
      <c r="F84" s="5" t="s">
        <v>1051</v>
      </c>
      <c r="G84" s="5" t="s">
        <v>1052</v>
      </c>
    </row>
    <row r="85" customFormat="false" ht="15" hidden="false" customHeight="false" outlineLevel="0" collapsed="false">
      <c r="A85" s="5" t="s">
        <v>89</v>
      </c>
      <c r="B85" s="5" t="s">
        <v>90</v>
      </c>
      <c r="C85" s="5" t="s">
        <v>237</v>
      </c>
      <c r="D85" s="5" t="s">
        <v>231</v>
      </c>
      <c r="E85" s="5" t="s">
        <v>151</v>
      </c>
      <c r="F85" s="5" t="s">
        <v>1051</v>
      </c>
      <c r="G85" s="5" t="s">
        <v>1052</v>
      </c>
    </row>
    <row r="86" customFormat="false" ht="15" hidden="false" customHeight="false" outlineLevel="0" collapsed="false">
      <c r="A86" s="5" t="s">
        <v>89</v>
      </c>
      <c r="B86" s="5" t="s">
        <v>90</v>
      </c>
      <c r="C86" s="5" t="s">
        <v>238</v>
      </c>
      <c r="D86" s="5" t="s">
        <v>231</v>
      </c>
      <c r="E86" s="5" t="s">
        <v>153</v>
      </c>
      <c r="F86" s="5" t="s">
        <v>1051</v>
      </c>
      <c r="G86" s="5" t="s">
        <v>1052</v>
      </c>
    </row>
    <row r="87" customFormat="false" ht="15" hidden="false" customHeight="false" outlineLevel="0" collapsed="false">
      <c r="A87" s="5" t="s">
        <v>89</v>
      </c>
      <c r="B87" s="5" t="s">
        <v>90</v>
      </c>
      <c r="C87" s="5" t="s">
        <v>239</v>
      </c>
      <c r="D87" s="5" t="s">
        <v>231</v>
      </c>
      <c r="E87" s="5" t="s">
        <v>155</v>
      </c>
      <c r="F87" s="5" t="s">
        <v>1051</v>
      </c>
      <c r="G87" s="5" t="s">
        <v>1052</v>
      </c>
    </row>
    <row r="88" customFormat="false" ht="15" hidden="false" customHeight="false" outlineLevel="0" collapsed="false">
      <c r="A88" s="5" t="s">
        <v>89</v>
      </c>
      <c r="B88" s="5" t="s">
        <v>90</v>
      </c>
      <c r="C88" s="5" t="s">
        <v>240</v>
      </c>
      <c r="D88" s="5" t="s">
        <v>231</v>
      </c>
      <c r="E88" s="5" t="s">
        <v>157</v>
      </c>
      <c r="F88" s="5" t="s">
        <v>1051</v>
      </c>
      <c r="G88" s="5" t="s">
        <v>1052</v>
      </c>
    </row>
    <row r="89" customFormat="false" ht="15" hidden="false" customHeight="false" outlineLevel="0" collapsed="false">
      <c r="A89" s="5" t="s">
        <v>89</v>
      </c>
      <c r="B89" s="5" t="s">
        <v>90</v>
      </c>
      <c r="C89" s="5" t="s">
        <v>241</v>
      </c>
      <c r="D89" s="5" t="s">
        <v>231</v>
      </c>
      <c r="E89" s="5" t="s">
        <v>95</v>
      </c>
      <c r="F89" s="5" t="s">
        <v>1053</v>
      </c>
      <c r="G89" s="5" t="s">
        <v>1052</v>
      </c>
    </row>
    <row r="90" customFormat="false" ht="15" hidden="false" customHeight="false" outlineLevel="0" collapsed="false">
      <c r="A90" s="5" t="s">
        <v>89</v>
      </c>
      <c r="B90" s="5" t="s">
        <v>90</v>
      </c>
      <c r="C90" s="5" t="s">
        <v>242</v>
      </c>
      <c r="D90" s="5" t="s">
        <v>243</v>
      </c>
      <c r="E90" s="5" t="s">
        <v>93</v>
      </c>
      <c r="F90" s="5" t="s">
        <v>1051</v>
      </c>
      <c r="G90" s="5" t="s">
        <v>1052</v>
      </c>
    </row>
    <row r="91" customFormat="false" ht="15" hidden="false" customHeight="false" outlineLevel="0" collapsed="false">
      <c r="A91" s="5" t="s">
        <v>89</v>
      </c>
      <c r="B91" s="5" t="s">
        <v>90</v>
      </c>
      <c r="C91" s="5" t="s">
        <v>244</v>
      </c>
      <c r="D91" s="5" t="s">
        <v>243</v>
      </c>
      <c r="E91" s="5" t="s">
        <v>98</v>
      </c>
      <c r="F91" s="5" t="s">
        <v>1051</v>
      </c>
      <c r="G91" s="5" t="s">
        <v>1052</v>
      </c>
    </row>
    <row r="92" customFormat="false" ht="15" hidden="false" customHeight="false" outlineLevel="0" collapsed="false">
      <c r="A92" s="5" t="s">
        <v>89</v>
      </c>
      <c r="B92" s="5" t="s">
        <v>90</v>
      </c>
      <c r="C92" s="5" t="s">
        <v>245</v>
      </c>
      <c r="D92" s="5" t="s">
        <v>243</v>
      </c>
      <c r="E92" s="5" t="s">
        <v>143</v>
      </c>
      <c r="F92" s="5" t="s">
        <v>1051</v>
      </c>
      <c r="G92" s="5" t="s">
        <v>1052</v>
      </c>
    </row>
    <row r="93" customFormat="false" ht="15" hidden="false" customHeight="false" outlineLevel="0" collapsed="false">
      <c r="A93" s="5" t="s">
        <v>89</v>
      </c>
      <c r="B93" s="5" t="s">
        <v>90</v>
      </c>
      <c r="C93" s="5" t="s">
        <v>246</v>
      </c>
      <c r="D93" s="5" t="s">
        <v>243</v>
      </c>
      <c r="E93" s="5" t="s">
        <v>145</v>
      </c>
      <c r="F93" s="5" t="s">
        <v>1051</v>
      </c>
      <c r="G93" s="5" t="s">
        <v>1052</v>
      </c>
    </row>
    <row r="94" customFormat="false" ht="15" hidden="false" customHeight="false" outlineLevel="0" collapsed="false">
      <c r="A94" s="5" t="s">
        <v>89</v>
      </c>
      <c r="B94" s="5" t="s">
        <v>90</v>
      </c>
      <c r="C94" s="5" t="s">
        <v>247</v>
      </c>
      <c r="D94" s="5" t="s">
        <v>243</v>
      </c>
      <c r="E94" s="5" t="s">
        <v>147</v>
      </c>
      <c r="F94" s="5" t="s">
        <v>1051</v>
      </c>
      <c r="G94" s="5" t="s">
        <v>1052</v>
      </c>
    </row>
    <row r="95" customFormat="false" ht="15" hidden="false" customHeight="false" outlineLevel="0" collapsed="false">
      <c r="A95" s="5" t="s">
        <v>89</v>
      </c>
      <c r="B95" s="5" t="s">
        <v>90</v>
      </c>
      <c r="C95" s="5" t="s">
        <v>248</v>
      </c>
      <c r="D95" s="5" t="s">
        <v>243</v>
      </c>
      <c r="E95" s="5" t="s">
        <v>149</v>
      </c>
      <c r="F95" s="5" t="s">
        <v>1051</v>
      </c>
      <c r="G95" s="5" t="s">
        <v>1052</v>
      </c>
    </row>
    <row r="96" customFormat="false" ht="15" hidden="false" customHeight="false" outlineLevel="0" collapsed="false">
      <c r="A96" s="5" t="s">
        <v>89</v>
      </c>
      <c r="B96" s="5" t="s">
        <v>90</v>
      </c>
      <c r="C96" s="5" t="s">
        <v>249</v>
      </c>
      <c r="D96" s="5" t="s">
        <v>243</v>
      </c>
      <c r="E96" s="5" t="s">
        <v>151</v>
      </c>
      <c r="F96" s="5" t="s">
        <v>1051</v>
      </c>
      <c r="G96" s="5" t="s">
        <v>1052</v>
      </c>
    </row>
    <row r="97" customFormat="false" ht="15" hidden="false" customHeight="false" outlineLevel="0" collapsed="false">
      <c r="A97" s="5" t="s">
        <v>89</v>
      </c>
      <c r="B97" s="5" t="s">
        <v>90</v>
      </c>
      <c r="C97" s="5" t="s">
        <v>250</v>
      </c>
      <c r="D97" s="5" t="s">
        <v>243</v>
      </c>
      <c r="E97" s="5" t="s">
        <v>153</v>
      </c>
      <c r="F97" s="5" t="s">
        <v>1051</v>
      </c>
      <c r="G97" s="5" t="s">
        <v>1052</v>
      </c>
    </row>
    <row r="98" customFormat="false" ht="15" hidden="false" customHeight="false" outlineLevel="0" collapsed="false">
      <c r="A98" s="5" t="s">
        <v>89</v>
      </c>
      <c r="B98" s="5" t="s">
        <v>90</v>
      </c>
      <c r="C98" s="5" t="s">
        <v>251</v>
      </c>
      <c r="D98" s="5" t="s">
        <v>243</v>
      </c>
      <c r="E98" s="5" t="s">
        <v>155</v>
      </c>
      <c r="F98" s="5" t="s">
        <v>1051</v>
      </c>
      <c r="G98" s="5" t="s">
        <v>1052</v>
      </c>
    </row>
    <row r="99" customFormat="false" ht="15" hidden="false" customHeight="false" outlineLevel="0" collapsed="false">
      <c r="A99" s="5" t="s">
        <v>89</v>
      </c>
      <c r="B99" s="5" t="s">
        <v>90</v>
      </c>
      <c r="C99" s="5" t="s">
        <v>252</v>
      </c>
      <c r="D99" s="5" t="s">
        <v>243</v>
      </c>
      <c r="E99" s="5" t="s">
        <v>157</v>
      </c>
      <c r="F99" s="5" t="s">
        <v>1051</v>
      </c>
      <c r="G99" s="5" t="s">
        <v>1052</v>
      </c>
    </row>
    <row r="100" customFormat="false" ht="15" hidden="false" customHeight="false" outlineLevel="0" collapsed="false">
      <c r="A100" s="5" t="s">
        <v>89</v>
      </c>
      <c r="B100" s="5" t="s">
        <v>90</v>
      </c>
      <c r="C100" s="5" t="s">
        <v>253</v>
      </c>
      <c r="D100" s="5" t="s">
        <v>243</v>
      </c>
      <c r="E100" s="5" t="s">
        <v>95</v>
      </c>
      <c r="F100" s="5" t="s">
        <v>1053</v>
      </c>
      <c r="G100" s="5" t="s">
        <v>1052</v>
      </c>
    </row>
    <row r="101" customFormat="false" ht="15" hidden="false" customHeight="false" outlineLevel="0" collapsed="false">
      <c r="A101" s="5" t="s">
        <v>89</v>
      </c>
      <c r="B101" s="5" t="s">
        <v>90</v>
      </c>
      <c r="C101" s="5" t="s">
        <v>254</v>
      </c>
      <c r="D101" s="5" t="s">
        <v>255</v>
      </c>
      <c r="E101" s="5" t="s">
        <v>93</v>
      </c>
      <c r="F101" s="5" t="s">
        <v>1051</v>
      </c>
      <c r="G101" s="5" t="s">
        <v>1052</v>
      </c>
    </row>
    <row r="102" customFormat="false" ht="15" hidden="false" customHeight="false" outlineLevel="0" collapsed="false">
      <c r="A102" s="5" t="s">
        <v>89</v>
      </c>
      <c r="B102" s="5" t="s">
        <v>90</v>
      </c>
      <c r="C102" s="5" t="s">
        <v>256</v>
      </c>
      <c r="D102" s="5" t="s">
        <v>255</v>
      </c>
      <c r="E102" s="5" t="s">
        <v>98</v>
      </c>
      <c r="F102" s="5" t="s">
        <v>1051</v>
      </c>
      <c r="G102" s="5" t="s">
        <v>1052</v>
      </c>
    </row>
    <row r="103" customFormat="false" ht="15" hidden="false" customHeight="false" outlineLevel="0" collapsed="false">
      <c r="A103" s="5" t="s">
        <v>89</v>
      </c>
      <c r="B103" s="5" t="s">
        <v>90</v>
      </c>
      <c r="C103" s="5" t="s">
        <v>257</v>
      </c>
      <c r="D103" s="5" t="s">
        <v>255</v>
      </c>
      <c r="E103" s="5" t="s">
        <v>143</v>
      </c>
      <c r="F103" s="5" t="s">
        <v>1051</v>
      </c>
      <c r="G103" s="5" t="s">
        <v>1052</v>
      </c>
    </row>
    <row r="104" customFormat="false" ht="15" hidden="false" customHeight="false" outlineLevel="0" collapsed="false">
      <c r="A104" s="5" t="s">
        <v>89</v>
      </c>
      <c r="B104" s="5" t="s">
        <v>90</v>
      </c>
      <c r="C104" s="5" t="s">
        <v>258</v>
      </c>
      <c r="D104" s="5" t="s">
        <v>255</v>
      </c>
      <c r="E104" s="5" t="s">
        <v>145</v>
      </c>
      <c r="F104" s="5" t="s">
        <v>1051</v>
      </c>
      <c r="G104" s="5" t="s">
        <v>1052</v>
      </c>
    </row>
    <row r="105" customFormat="false" ht="15" hidden="false" customHeight="false" outlineLevel="0" collapsed="false">
      <c r="A105" s="5" t="s">
        <v>89</v>
      </c>
      <c r="B105" s="5" t="s">
        <v>90</v>
      </c>
      <c r="C105" s="5" t="s">
        <v>259</v>
      </c>
      <c r="D105" s="5" t="s">
        <v>255</v>
      </c>
      <c r="E105" s="5" t="s">
        <v>147</v>
      </c>
      <c r="F105" s="5" t="s">
        <v>1051</v>
      </c>
      <c r="G105" s="5" t="s">
        <v>1052</v>
      </c>
    </row>
    <row r="106" customFormat="false" ht="15" hidden="false" customHeight="false" outlineLevel="0" collapsed="false">
      <c r="A106" s="5" t="s">
        <v>89</v>
      </c>
      <c r="B106" s="5" t="s">
        <v>90</v>
      </c>
      <c r="C106" s="5" t="s">
        <v>260</v>
      </c>
      <c r="D106" s="5" t="s">
        <v>255</v>
      </c>
      <c r="E106" s="5" t="s">
        <v>149</v>
      </c>
      <c r="F106" s="5" t="s">
        <v>1051</v>
      </c>
      <c r="G106" s="5" t="s">
        <v>1052</v>
      </c>
    </row>
    <row r="107" customFormat="false" ht="15" hidden="false" customHeight="false" outlineLevel="0" collapsed="false">
      <c r="A107" s="5" t="s">
        <v>89</v>
      </c>
      <c r="B107" s="5" t="s">
        <v>90</v>
      </c>
      <c r="C107" s="5" t="s">
        <v>261</v>
      </c>
      <c r="D107" s="5" t="s">
        <v>255</v>
      </c>
      <c r="E107" s="5" t="s">
        <v>151</v>
      </c>
      <c r="F107" s="5" t="s">
        <v>1051</v>
      </c>
      <c r="G107" s="5" t="s">
        <v>1052</v>
      </c>
    </row>
    <row r="108" customFormat="false" ht="15" hidden="false" customHeight="false" outlineLevel="0" collapsed="false">
      <c r="A108" s="5" t="s">
        <v>89</v>
      </c>
      <c r="B108" s="5" t="s">
        <v>90</v>
      </c>
      <c r="C108" s="5" t="s">
        <v>262</v>
      </c>
      <c r="D108" s="5" t="s">
        <v>255</v>
      </c>
      <c r="E108" s="5" t="s">
        <v>153</v>
      </c>
      <c r="F108" s="5" t="s">
        <v>1051</v>
      </c>
      <c r="G108" s="5" t="s">
        <v>1052</v>
      </c>
    </row>
    <row r="109" customFormat="false" ht="15" hidden="false" customHeight="false" outlineLevel="0" collapsed="false">
      <c r="A109" s="5" t="s">
        <v>89</v>
      </c>
      <c r="B109" s="5" t="s">
        <v>90</v>
      </c>
      <c r="C109" s="5" t="s">
        <v>263</v>
      </c>
      <c r="D109" s="5" t="s">
        <v>255</v>
      </c>
      <c r="E109" s="5" t="s">
        <v>155</v>
      </c>
      <c r="F109" s="5" t="s">
        <v>1051</v>
      </c>
      <c r="G109" s="5" t="s">
        <v>1052</v>
      </c>
    </row>
    <row r="110" customFormat="false" ht="15" hidden="false" customHeight="false" outlineLevel="0" collapsed="false">
      <c r="A110" s="5" t="s">
        <v>89</v>
      </c>
      <c r="B110" s="5" t="s">
        <v>90</v>
      </c>
      <c r="C110" s="5" t="s">
        <v>264</v>
      </c>
      <c r="D110" s="5" t="s">
        <v>255</v>
      </c>
      <c r="E110" s="5" t="s">
        <v>157</v>
      </c>
      <c r="F110" s="5" t="s">
        <v>1051</v>
      </c>
      <c r="G110" s="5" t="s">
        <v>1052</v>
      </c>
    </row>
    <row r="111" customFormat="false" ht="15" hidden="false" customHeight="false" outlineLevel="0" collapsed="false">
      <c r="A111" s="5" t="s">
        <v>89</v>
      </c>
      <c r="B111" s="5" t="s">
        <v>90</v>
      </c>
      <c r="C111" s="5" t="s">
        <v>265</v>
      </c>
      <c r="D111" s="5" t="s">
        <v>255</v>
      </c>
      <c r="E111" s="5" t="s">
        <v>95</v>
      </c>
      <c r="F111" s="5" t="s">
        <v>1053</v>
      </c>
      <c r="G111" s="5" t="s">
        <v>1052</v>
      </c>
    </row>
    <row r="112" customFormat="false" ht="15" hidden="false" customHeight="false" outlineLevel="0" collapsed="false">
      <c r="A112" s="5" t="s">
        <v>89</v>
      </c>
      <c r="B112" s="5" t="s">
        <v>90</v>
      </c>
      <c r="C112" s="5" t="s">
        <v>266</v>
      </c>
      <c r="D112" s="5" t="s">
        <v>267</v>
      </c>
      <c r="E112" s="5" t="s">
        <v>93</v>
      </c>
      <c r="F112" s="5" t="s">
        <v>1051</v>
      </c>
      <c r="G112" s="5" t="s">
        <v>1052</v>
      </c>
    </row>
    <row r="113" customFormat="false" ht="15" hidden="false" customHeight="false" outlineLevel="0" collapsed="false">
      <c r="A113" s="5" t="s">
        <v>89</v>
      </c>
      <c r="B113" s="5" t="s">
        <v>90</v>
      </c>
      <c r="C113" s="5" t="s">
        <v>268</v>
      </c>
      <c r="D113" s="5" t="s">
        <v>267</v>
      </c>
      <c r="E113" s="5" t="s">
        <v>98</v>
      </c>
      <c r="F113" s="5" t="s">
        <v>1051</v>
      </c>
      <c r="G113" s="5" t="s">
        <v>1052</v>
      </c>
    </row>
    <row r="114" customFormat="false" ht="15" hidden="false" customHeight="false" outlineLevel="0" collapsed="false">
      <c r="A114" s="5" t="s">
        <v>89</v>
      </c>
      <c r="B114" s="5" t="s">
        <v>90</v>
      </c>
      <c r="C114" s="5" t="s">
        <v>269</v>
      </c>
      <c r="D114" s="5" t="s">
        <v>267</v>
      </c>
      <c r="E114" s="5" t="s">
        <v>143</v>
      </c>
      <c r="F114" s="5" t="s">
        <v>1051</v>
      </c>
      <c r="G114" s="5" t="s">
        <v>1052</v>
      </c>
    </row>
    <row r="115" customFormat="false" ht="15" hidden="false" customHeight="false" outlineLevel="0" collapsed="false">
      <c r="A115" s="5" t="s">
        <v>89</v>
      </c>
      <c r="B115" s="5" t="s">
        <v>90</v>
      </c>
      <c r="C115" s="5" t="s">
        <v>270</v>
      </c>
      <c r="D115" s="5" t="s">
        <v>267</v>
      </c>
      <c r="E115" s="5" t="s">
        <v>145</v>
      </c>
      <c r="F115" s="5" t="s">
        <v>1051</v>
      </c>
      <c r="G115" s="5" t="s">
        <v>1052</v>
      </c>
    </row>
    <row r="116" customFormat="false" ht="15" hidden="false" customHeight="false" outlineLevel="0" collapsed="false">
      <c r="A116" s="5" t="s">
        <v>89</v>
      </c>
      <c r="B116" s="5" t="s">
        <v>90</v>
      </c>
      <c r="C116" s="5" t="s">
        <v>271</v>
      </c>
      <c r="D116" s="5" t="s">
        <v>267</v>
      </c>
      <c r="E116" s="5" t="s">
        <v>147</v>
      </c>
      <c r="F116" s="5" t="s">
        <v>1051</v>
      </c>
      <c r="G116" s="5" t="s">
        <v>1052</v>
      </c>
    </row>
    <row r="117" customFormat="false" ht="15" hidden="false" customHeight="false" outlineLevel="0" collapsed="false">
      <c r="A117" s="5" t="s">
        <v>89</v>
      </c>
      <c r="B117" s="5" t="s">
        <v>90</v>
      </c>
      <c r="C117" s="5" t="s">
        <v>272</v>
      </c>
      <c r="D117" s="5" t="s">
        <v>267</v>
      </c>
      <c r="E117" s="5" t="s">
        <v>149</v>
      </c>
      <c r="F117" s="5" t="s">
        <v>1051</v>
      </c>
      <c r="G117" s="5" t="s">
        <v>1052</v>
      </c>
    </row>
    <row r="118" customFormat="false" ht="15" hidden="false" customHeight="false" outlineLevel="0" collapsed="false">
      <c r="A118" s="5" t="s">
        <v>89</v>
      </c>
      <c r="B118" s="5" t="s">
        <v>90</v>
      </c>
      <c r="C118" s="5" t="s">
        <v>273</v>
      </c>
      <c r="D118" s="5" t="s">
        <v>267</v>
      </c>
      <c r="E118" s="5" t="s">
        <v>151</v>
      </c>
      <c r="F118" s="5" t="s">
        <v>1051</v>
      </c>
      <c r="G118" s="5" t="s">
        <v>1052</v>
      </c>
    </row>
    <row r="119" customFormat="false" ht="15" hidden="false" customHeight="false" outlineLevel="0" collapsed="false">
      <c r="A119" s="5" t="s">
        <v>89</v>
      </c>
      <c r="B119" s="5" t="s">
        <v>90</v>
      </c>
      <c r="C119" s="5" t="s">
        <v>274</v>
      </c>
      <c r="D119" s="5" t="s">
        <v>267</v>
      </c>
      <c r="E119" s="5" t="s">
        <v>153</v>
      </c>
      <c r="F119" s="5" t="s">
        <v>1051</v>
      </c>
      <c r="G119" s="5" t="s">
        <v>1052</v>
      </c>
    </row>
    <row r="120" customFormat="false" ht="15" hidden="false" customHeight="false" outlineLevel="0" collapsed="false">
      <c r="A120" s="5" t="s">
        <v>89</v>
      </c>
      <c r="B120" s="5" t="s">
        <v>90</v>
      </c>
      <c r="C120" s="5" t="s">
        <v>275</v>
      </c>
      <c r="D120" s="5" t="s">
        <v>267</v>
      </c>
      <c r="E120" s="5" t="s">
        <v>155</v>
      </c>
      <c r="F120" s="5" t="s">
        <v>1051</v>
      </c>
      <c r="G120" s="5" t="s">
        <v>1052</v>
      </c>
    </row>
    <row r="121" customFormat="false" ht="15" hidden="false" customHeight="false" outlineLevel="0" collapsed="false">
      <c r="A121" s="5" t="s">
        <v>89</v>
      </c>
      <c r="B121" s="5" t="s">
        <v>90</v>
      </c>
      <c r="C121" s="5" t="s">
        <v>276</v>
      </c>
      <c r="D121" s="5" t="s">
        <v>267</v>
      </c>
      <c r="E121" s="5" t="s">
        <v>157</v>
      </c>
      <c r="F121" s="5" t="s">
        <v>1051</v>
      </c>
      <c r="G121" s="5" t="s">
        <v>1052</v>
      </c>
    </row>
    <row r="122" customFormat="false" ht="15" hidden="false" customHeight="false" outlineLevel="0" collapsed="false">
      <c r="A122" s="5" t="s">
        <v>89</v>
      </c>
      <c r="B122" s="5" t="s">
        <v>90</v>
      </c>
      <c r="C122" s="5" t="s">
        <v>277</v>
      </c>
      <c r="D122" s="5" t="s">
        <v>267</v>
      </c>
      <c r="E122" s="5" t="s">
        <v>95</v>
      </c>
      <c r="F122" s="5" t="s">
        <v>1053</v>
      </c>
      <c r="G122" s="5" t="s">
        <v>1052</v>
      </c>
    </row>
    <row r="123" customFormat="false" ht="15" hidden="false" customHeight="false" outlineLevel="0" collapsed="false">
      <c r="A123" s="5" t="s">
        <v>89</v>
      </c>
      <c r="B123" s="5" t="s">
        <v>90</v>
      </c>
      <c r="C123" s="5" t="s">
        <v>278</v>
      </c>
      <c r="D123" s="5" t="s">
        <v>279</v>
      </c>
      <c r="E123" s="5" t="s">
        <v>93</v>
      </c>
      <c r="F123" s="5" t="s">
        <v>1051</v>
      </c>
      <c r="G123" s="5" t="s">
        <v>1052</v>
      </c>
    </row>
    <row r="124" customFormat="false" ht="15" hidden="false" customHeight="false" outlineLevel="0" collapsed="false">
      <c r="A124" s="5" t="s">
        <v>89</v>
      </c>
      <c r="B124" s="5" t="s">
        <v>90</v>
      </c>
      <c r="C124" s="5" t="s">
        <v>280</v>
      </c>
      <c r="D124" s="5" t="s">
        <v>279</v>
      </c>
      <c r="E124" s="5" t="s">
        <v>98</v>
      </c>
      <c r="F124" s="5" t="s">
        <v>1051</v>
      </c>
      <c r="G124" s="5" t="s">
        <v>1052</v>
      </c>
    </row>
    <row r="125" customFormat="false" ht="15" hidden="false" customHeight="false" outlineLevel="0" collapsed="false">
      <c r="A125" s="5" t="s">
        <v>89</v>
      </c>
      <c r="B125" s="5" t="s">
        <v>90</v>
      </c>
      <c r="C125" s="5" t="s">
        <v>281</v>
      </c>
      <c r="D125" s="5" t="s">
        <v>279</v>
      </c>
      <c r="E125" s="5" t="s">
        <v>143</v>
      </c>
      <c r="F125" s="5" t="s">
        <v>1051</v>
      </c>
      <c r="G125" s="5" t="s">
        <v>1052</v>
      </c>
    </row>
    <row r="126" customFormat="false" ht="15" hidden="false" customHeight="false" outlineLevel="0" collapsed="false">
      <c r="A126" s="5" t="s">
        <v>89</v>
      </c>
      <c r="B126" s="5" t="s">
        <v>90</v>
      </c>
      <c r="C126" s="5" t="s">
        <v>282</v>
      </c>
      <c r="D126" s="5" t="s">
        <v>279</v>
      </c>
      <c r="E126" s="5" t="s">
        <v>145</v>
      </c>
      <c r="F126" s="5" t="s">
        <v>1051</v>
      </c>
      <c r="G126" s="5" t="s">
        <v>1052</v>
      </c>
    </row>
    <row r="127" customFormat="false" ht="15" hidden="false" customHeight="false" outlineLevel="0" collapsed="false">
      <c r="A127" s="5" t="s">
        <v>89</v>
      </c>
      <c r="B127" s="5" t="s">
        <v>90</v>
      </c>
      <c r="C127" s="5" t="s">
        <v>283</v>
      </c>
      <c r="D127" s="5" t="s">
        <v>279</v>
      </c>
      <c r="E127" s="5" t="s">
        <v>147</v>
      </c>
      <c r="F127" s="5" t="s">
        <v>1051</v>
      </c>
      <c r="G127" s="5" t="s">
        <v>1052</v>
      </c>
    </row>
    <row r="128" customFormat="false" ht="15" hidden="false" customHeight="false" outlineLevel="0" collapsed="false">
      <c r="A128" s="5" t="s">
        <v>89</v>
      </c>
      <c r="B128" s="5" t="s">
        <v>90</v>
      </c>
      <c r="C128" s="5" t="s">
        <v>284</v>
      </c>
      <c r="D128" s="5" t="s">
        <v>279</v>
      </c>
      <c r="E128" s="5" t="s">
        <v>149</v>
      </c>
      <c r="F128" s="5" t="s">
        <v>1051</v>
      </c>
      <c r="G128" s="5" t="s">
        <v>1052</v>
      </c>
    </row>
    <row r="129" customFormat="false" ht="15" hidden="false" customHeight="false" outlineLevel="0" collapsed="false">
      <c r="A129" s="5" t="s">
        <v>89</v>
      </c>
      <c r="B129" s="5" t="s">
        <v>90</v>
      </c>
      <c r="C129" s="5" t="s">
        <v>285</v>
      </c>
      <c r="D129" s="5" t="s">
        <v>279</v>
      </c>
      <c r="E129" s="5" t="s">
        <v>151</v>
      </c>
      <c r="F129" s="5" t="s">
        <v>1051</v>
      </c>
      <c r="G129" s="5" t="s">
        <v>1052</v>
      </c>
    </row>
    <row r="130" customFormat="false" ht="15" hidden="false" customHeight="false" outlineLevel="0" collapsed="false">
      <c r="A130" s="5" t="s">
        <v>89</v>
      </c>
      <c r="B130" s="5" t="s">
        <v>90</v>
      </c>
      <c r="C130" s="5" t="s">
        <v>286</v>
      </c>
      <c r="D130" s="5" t="s">
        <v>279</v>
      </c>
      <c r="E130" s="5" t="s">
        <v>153</v>
      </c>
      <c r="F130" s="5" t="s">
        <v>1051</v>
      </c>
      <c r="G130" s="5" t="s">
        <v>1052</v>
      </c>
    </row>
    <row r="131" customFormat="false" ht="15" hidden="false" customHeight="false" outlineLevel="0" collapsed="false">
      <c r="A131" s="5" t="s">
        <v>89</v>
      </c>
      <c r="B131" s="5" t="s">
        <v>90</v>
      </c>
      <c r="C131" s="5" t="s">
        <v>287</v>
      </c>
      <c r="D131" s="5" t="s">
        <v>279</v>
      </c>
      <c r="E131" s="5" t="s">
        <v>155</v>
      </c>
      <c r="F131" s="5" t="s">
        <v>1051</v>
      </c>
      <c r="G131" s="5" t="s">
        <v>1052</v>
      </c>
    </row>
    <row r="132" customFormat="false" ht="15" hidden="false" customHeight="false" outlineLevel="0" collapsed="false">
      <c r="A132" s="5" t="s">
        <v>89</v>
      </c>
      <c r="B132" s="5" t="s">
        <v>90</v>
      </c>
      <c r="C132" s="5" t="s">
        <v>288</v>
      </c>
      <c r="D132" s="5" t="s">
        <v>279</v>
      </c>
      <c r="E132" s="5" t="s">
        <v>157</v>
      </c>
      <c r="F132" s="5" t="s">
        <v>1051</v>
      </c>
      <c r="G132" s="5" t="s">
        <v>1052</v>
      </c>
    </row>
    <row r="133" customFormat="false" ht="15" hidden="false" customHeight="false" outlineLevel="0" collapsed="false">
      <c r="A133" s="5" t="s">
        <v>89</v>
      </c>
      <c r="B133" s="5" t="s">
        <v>90</v>
      </c>
      <c r="C133" s="5" t="s">
        <v>289</v>
      </c>
      <c r="D133" s="5" t="s">
        <v>279</v>
      </c>
      <c r="E133" s="5" t="s">
        <v>95</v>
      </c>
      <c r="F133" s="5" t="s">
        <v>1053</v>
      </c>
      <c r="G133" s="5" t="s">
        <v>1052</v>
      </c>
    </row>
    <row r="134" customFormat="false" ht="15" hidden="false" customHeight="false" outlineLevel="0" collapsed="false">
      <c r="A134" s="5" t="s">
        <v>89</v>
      </c>
      <c r="B134" s="5" t="s">
        <v>90</v>
      </c>
      <c r="C134" s="5" t="s">
        <v>290</v>
      </c>
      <c r="D134" s="5" t="s">
        <v>291</v>
      </c>
      <c r="E134" s="5" t="s">
        <v>93</v>
      </c>
      <c r="F134" s="5" t="s">
        <v>1051</v>
      </c>
      <c r="G134" s="5" t="s">
        <v>1052</v>
      </c>
    </row>
    <row r="135" customFormat="false" ht="15" hidden="false" customHeight="false" outlineLevel="0" collapsed="false">
      <c r="A135" s="5" t="s">
        <v>89</v>
      </c>
      <c r="B135" s="5" t="s">
        <v>90</v>
      </c>
      <c r="C135" s="5" t="s">
        <v>292</v>
      </c>
      <c r="D135" s="5" t="s">
        <v>291</v>
      </c>
      <c r="E135" s="5" t="s">
        <v>98</v>
      </c>
      <c r="F135" s="5" t="s">
        <v>1051</v>
      </c>
      <c r="G135" s="5" t="s">
        <v>1052</v>
      </c>
    </row>
    <row r="136" customFormat="false" ht="15" hidden="false" customHeight="false" outlineLevel="0" collapsed="false">
      <c r="A136" s="5" t="s">
        <v>89</v>
      </c>
      <c r="B136" s="5" t="s">
        <v>90</v>
      </c>
      <c r="C136" s="5" t="s">
        <v>293</v>
      </c>
      <c r="D136" s="5" t="s">
        <v>291</v>
      </c>
      <c r="E136" s="5" t="s">
        <v>143</v>
      </c>
      <c r="F136" s="5" t="s">
        <v>1051</v>
      </c>
      <c r="G136" s="5" t="s">
        <v>1052</v>
      </c>
    </row>
    <row r="137" customFormat="false" ht="15" hidden="false" customHeight="false" outlineLevel="0" collapsed="false">
      <c r="A137" s="5" t="s">
        <v>89</v>
      </c>
      <c r="B137" s="5" t="s">
        <v>90</v>
      </c>
      <c r="C137" s="5" t="s">
        <v>294</v>
      </c>
      <c r="D137" s="5" t="s">
        <v>291</v>
      </c>
      <c r="E137" s="5" t="s">
        <v>145</v>
      </c>
      <c r="F137" s="5" t="s">
        <v>1051</v>
      </c>
      <c r="G137" s="5" t="s">
        <v>1052</v>
      </c>
    </row>
    <row r="138" customFormat="false" ht="15" hidden="false" customHeight="false" outlineLevel="0" collapsed="false">
      <c r="A138" s="5" t="s">
        <v>89</v>
      </c>
      <c r="B138" s="5" t="s">
        <v>90</v>
      </c>
      <c r="C138" s="5" t="s">
        <v>295</v>
      </c>
      <c r="D138" s="5" t="s">
        <v>291</v>
      </c>
      <c r="E138" s="5" t="s">
        <v>147</v>
      </c>
      <c r="F138" s="5" t="s">
        <v>1051</v>
      </c>
      <c r="G138" s="5" t="s">
        <v>1052</v>
      </c>
    </row>
    <row r="139" customFormat="false" ht="15" hidden="false" customHeight="false" outlineLevel="0" collapsed="false">
      <c r="A139" s="5" t="s">
        <v>89</v>
      </c>
      <c r="B139" s="5" t="s">
        <v>90</v>
      </c>
      <c r="C139" s="5" t="s">
        <v>296</v>
      </c>
      <c r="D139" s="5" t="s">
        <v>291</v>
      </c>
      <c r="E139" s="5" t="s">
        <v>149</v>
      </c>
      <c r="F139" s="5" t="s">
        <v>1051</v>
      </c>
      <c r="G139" s="5" t="s">
        <v>1052</v>
      </c>
    </row>
    <row r="140" customFormat="false" ht="15" hidden="false" customHeight="false" outlineLevel="0" collapsed="false">
      <c r="A140" s="5" t="s">
        <v>89</v>
      </c>
      <c r="B140" s="5" t="s">
        <v>90</v>
      </c>
      <c r="C140" s="5" t="s">
        <v>297</v>
      </c>
      <c r="D140" s="5" t="s">
        <v>291</v>
      </c>
      <c r="E140" s="5" t="s">
        <v>151</v>
      </c>
      <c r="F140" s="5" t="s">
        <v>1051</v>
      </c>
      <c r="G140" s="5" t="s">
        <v>1052</v>
      </c>
    </row>
    <row r="141" customFormat="false" ht="15" hidden="false" customHeight="false" outlineLevel="0" collapsed="false">
      <c r="A141" s="5" t="s">
        <v>89</v>
      </c>
      <c r="B141" s="5" t="s">
        <v>90</v>
      </c>
      <c r="C141" s="5" t="s">
        <v>298</v>
      </c>
      <c r="D141" s="5" t="s">
        <v>291</v>
      </c>
      <c r="E141" s="5" t="s">
        <v>153</v>
      </c>
      <c r="F141" s="5" t="s">
        <v>1051</v>
      </c>
      <c r="G141" s="5" t="s">
        <v>1052</v>
      </c>
    </row>
    <row r="142" customFormat="false" ht="15" hidden="false" customHeight="false" outlineLevel="0" collapsed="false">
      <c r="A142" s="5" t="s">
        <v>89</v>
      </c>
      <c r="B142" s="5" t="s">
        <v>90</v>
      </c>
      <c r="C142" s="5" t="s">
        <v>299</v>
      </c>
      <c r="D142" s="5" t="s">
        <v>291</v>
      </c>
      <c r="E142" s="5" t="s">
        <v>155</v>
      </c>
      <c r="F142" s="5" t="s">
        <v>1051</v>
      </c>
      <c r="G142" s="5" t="s">
        <v>1052</v>
      </c>
    </row>
    <row r="143" customFormat="false" ht="15" hidden="false" customHeight="false" outlineLevel="0" collapsed="false">
      <c r="A143" s="5" t="s">
        <v>89</v>
      </c>
      <c r="B143" s="5" t="s">
        <v>90</v>
      </c>
      <c r="C143" s="5" t="s">
        <v>300</v>
      </c>
      <c r="D143" s="5" t="s">
        <v>291</v>
      </c>
      <c r="E143" s="5" t="s">
        <v>157</v>
      </c>
      <c r="F143" s="5" t="s">
        <v>1051</v>
      </c>
      <c r="G143" s="5" t="s">
        <v>1052</v>
      </c>
    </row>
    <row r="144" customFormat="false" ht="15" hidden="false" customHeight="false" outlineLevel="0" collapsed="false">
      <c r="A144" s="5" t="s">
        <v>89</v>
      </c>
      <c r="B144" s="5" t="s">
        <v>90</v>
      </c>
      <c r="C144" s="5" t="s">
        <v>301</v>
      </c>
      <c r="D144" s="5" t="s">
        <v>291</v>
      </c>
      <c r="E144" s="5" t="s">
        <v>95</v>
      </c>
      <c r="F144" s="5" t="s">
        <v>1053</v>
      </c>
      <c r="G144" s="5" t="s">
        <v>1052</v>
      </c>
    </row>
    <row r="145" customFormat="false" ht="15" hidden="false" customHeight="false" outlineLevel="0" collapsed="false">
      <c r="A145" s="5" t="s">
        <v>89</v>
      </c>
      <c r="B145" s="5" t="s">
        <v>90</v>
      </c>
      <c r="C145" s="5" t="s">
        <v>302</v>
      </c>
      <c r="D145" s="5" t="s">
        <v>303</v>
      </c>
      <c r="E145" s="5" t="s">
        <v>93</v>
      </c>
      <c r="F145" s="5" t="s">
        <v>1051</v>
      </c>
      <c r="G145" s="5" t="s">
        <v>1052</v>
      </c>
    </row>
    <row r="146" customFormat="false" ht="15" hidden="false" customHeight="false" outlineLevel="0" collapsed="false">
      <c r="A146" s="5" t="s">
        <v>89</v>
      </c>
      <c r="B146" s="5" t="s">
        <v>90</v>
      </c>
      <c r="C146" s="5" t="s">
        <v>304</v>
      </c>
      <c r="D146" s="5" t="s">
        <v>303</v>
      </c>
      <c r="E146" s="5" t="s">
        <v>98</v>
      </c>
      <c r="F146" s="5" t="s">
        <v>1051</v>
      </c>
      <c r="G146" s="5" t="s">
        <v>1052</v>
      </c>
    </row>
    <row r="147" customFormat="false" ht="15" hidden="false" customHeight="false" outlineLevel="0" collapsed="false">
      <c r="A147" s="5" t="s">
        <v>89</v>
      </c>
      <c r="B147" s="5" t="s">
        <v>90</v>
      </c>
      <c r="C147" s="5" t="s">
        <v>305</v>
      </c>
      <c r="D147" s="5" t="s">
        <v>303</v>
      </c>
      <c r="E147" s="5" t="s">
        <v>143</v>
      </c>
      <c r="F147" s="5" t="s">
        <v>1051</v>
      </c>
      <c r="G147" s="5" t="s">
        <v>1052</v>
      </c>
    </row>
    <row r="148" customFormat="false" ht="15" hidden="false" customHeight="false" outlineLevel="0" collapsed="false">
      <c r="A148" s="5" t="s">
        <v>89</v>
      </c>
      <c r="B148" s="5" t="s">
        <v>90</v>
      </c>
      <c r="C148" s="5" t="s">
        <v>306</v>
      </c>
      <c r="D148" s="5" t="s">
        <v>303</v>
      </c>
      <c r="E148" s="5" t="s">
        <v>145</v>
      </c>
      <c r="F148" s="5" t="s">
        <v>1051</v>
      </c>
      <c r="G148" s="5" t="s">
        <v>1052</v>
      </c>
    </row>
    <row r="149" customFormat="false" ht="15" hidden="false" customHeight="false" outlineLevel="0" collapsed="false">
      <c r="A149" s="5" t="s">
        <v>89</v>
      </c>
      <c r="B149" s="5" t="s">
        <v>90</v>
      </c>
      <c r="C149" s="5" t="s">
        <v>307</v>
      </c>
      <c r="D149" s="5" t="s">
        <v>303</v>
      </c>
      <c r="E149" s="5" t="s">
        <v>147</v>
      </c>
      <c r="F149" s="5" t="s">
        <v>1051</v>
      </c>
      <c r="G149" s="5" t="s">
        <v>1052</v>
      </c>
    </row>
    <row r="150" customFormat="false" ht="15" hidden="false" customHeight="false" outlineLevel="0" collapsed="false">
      <c r="A150" s="5" t="s">
        <v>89</v>
      </c>
      <c r="B150" s="5" t="s">
        <v>90</v>
      </c>
      <c r="C150" s="5" t="s">
        <v>308</v>
      </c>
      <c r="D150" s="5" t="s">
        <v>303</v>
      </c>
      <c r="E150" s="5" t="s">
        <v>149</v>
      </c>
      <c r="F150" s="5" t="s">
        <v>1051</v>
      </c>
      <c r="G150" s="5" t="s">
        <v>1052</v>
      </c>
    </row>
    <row r="151" customFormat="false" ht="15" hidden="false" customHeight="false" outlineLevel="0" collapsed="false">
      <c r="A151" s="5" t="s">
        <v>89</v>
      </c>
      <c r="B151" s="5" t="s">
        <v>90</v>
      </c>
      <c r="C151" s="5" t="s">
        <v>309</v>
      </c>
      <c r="D151" s="5" t="s">
        <v>303</v>
      </c>
      <c r="E151" s="5" t="s">
        <v>151</v>
      </c>
      <c r="F151" s="5" t="s">
        <v>1051</v>
      </c>
      <c r="G151" s="5" t="s">
        <v>1052</v>
      </c>
    </row>
    <row r="152" customFormat="false" ht="15" hidden="false" customHeight="false" outlineLevel="0" collapsed="false">
      <c r="A152" s="5" t="s">
        <v>89</v>
      </c>
      <c r="B152" s="5" t="s">
        <v>90</v>
      </c>
      <c r="C152" s="5" t="s">
        <v>310</v>
      </c>
      <c r="D152" s="5" t="s">
        <v>303</v>
      </c>
      <c r="E152" s="5" t="s">
        <v>153</v>
      </c>
      <c r="F152" s="5" t="s">
        <v>1051</v>
      </c>
      <c r="G152" s="5" t="s">
        <v>1052</v>
      </c>
    </row>
    <row r="153" customFormat="false" ht="15" hidden="false" customHeight="false" outlineLevel="0" collapsed="false">
      <c r="A153" s="5" t="s">
        <v>89</v>
      </c>
      <c r="B153" s="5" t="s">
        <v>90</v>
      </c>
      <c r="C153" s="5" t="s">
        <v>311</v>
      </c>
      <c r="D153" s="5" t="s">
        <v>303</v>
      </c>
      <c r="E153" s="5" t="s">
        <v>155</v>
      </c>
      <c r="F153" s="5" t="s">
        <v>1051</v>
      </c>
      <c r="G153" s="5" t="s">
        <v>1052</v>
      </c>
    </row>
    <row r="154" customFormat="false" ht="15" hidden="false" customHeight="false" outlineLevel="0" collapsed="false">
      <c r="A154" s="5" t="s">
        <v>89</v>
      </c>
      <c r="B154" s="5" t="s">
        <v>90</v>
      </c>
      <c r="C154" s="5" t="s">
        <v>312</v>
      </c>
      <c r="D154" s="5" t="s">
        <v>303</v>
      </c>
      <c r="E154" s="5" t="s">
        <v>157</v>
      </c>
      <c r="F154" s="5" t="s">
        <v>1051</v>
      </c>
      <c r="G154" s="5" t="s">
        <v>1052</v>
      </c>
    </row>
    <row r="155" customFormat="false" ht="15" hidden="false" customHeight="false" outlineLevel="0" collapsed="false">
      <c r="A155" s="5" t="s">
        <v>89</v>
      </c>
      <c r="B155" s="5" t="s">
        <v>90</v>
      </c>
      <c r="C155" s="5" t="s">
        <v>313</v>
      </c>
      <c r="D155" s="5" t="s">
        <v>303</v>
      </c>
      <c r="E155" s="5" t="s">
        <v>95</v>
      </c>
      <c r="F155" s="5" t="s">
        <v>1053</v>
      </c>
      <c r="G155" s="5" t="s">
        <v>1052</v>
      </c>
    </row>
    <row r="156" customFormat="false" ht="15" hidden="false" customHeight="false" outlineLevel="0" collapsed="false">
      <c r="A156" s="5" t="s">
        <v>89</v>
      </c>
      <c r="B156" s="5" t="s">
        <v>90</v>
      </c>
      <c r="C156" s="5" t="s">
        <v>314</v>
      </c>
      <c r="D156" s="5" t="s">
        <v>315</v>
      </c>
      <c r="E156" s="5" t="s">
        <v>93</v>
      </c>
      <c r="F156" s="5" t="s">
        <v>1051</v>
      </c>
      <c r="G156" s="5" t="s">
        <v>1052</v>
      </c>
    </row>
    <row r="157" customFormat="false" ht="15" hidden="false" customHeight="false" outlineLevel="0" collapsed="false">
      <c r="A157" s="5" t="s">
        <v>89</v>
      </c>
      <c r="B157" s="5" t="s">
        <v>90</v>
      </c>
      <c r="C157" s="5" t="s">
        <v>316</v>
      </c>
      <c r="D157" s="5" t="s">
        <v>315</v>
      </c>
      <c r="E157" s="5" t="s">
        <v>98</v>
      </c>
      <c r="F157" s="5" t="s">
        <v>1051</v>
      </c>
      <c r="G157" s="5" t="s">
        <v>1052</v>
      </c>
    </row>
    <row r="158" customFormat="false" ht="15" hidden="false" customHeight="false" outlineLevel="0" collapsed="false">
      <c r="A158" s="5" t="s">
        <v>89</v>
      </c>
      <c r="B158" s="5" t="s">
        <v>90</v>
      </c>
      <c r="C158" s="5" t="s">
        <v>317</v>
      </c>
      <c r="D158" s="5" t="s">
        <v>315</v>
      </c>
      <c r="E158" s="5" t="s">
        <v>143</v>
      </c>
      <c r="F158" s="5" t="s">
        <v>1051</v>
      </c>
      <c r="G158" s="5" t="s">
        <v>1052</v>
      </c>
    </row>
    <row r="159" customFormat="false" ht="15" hidden="false" customHeight="false" outlineLevel="0" collapsed="false">
      <c r="A159" s="5" t="s">
        <v>89</v>
      </c>
      <c r="B159" s="5" t="s">
        <v>90</v>
      </c>
      <c r="C159" s="5" t="s">
        <v>318</v>
      </c>
      <c r="D159" s="5" t="s">
        <v>315</v>
      </c>
      <c r="E159" s="5" t="s">
        <v>145</v>
      </c>
      <c r="F159" s="5" t="s">
        <v>1051</v>
      </c>
      <c r="G159" s="5" t="s">
        <v>1052</v>
      </c>
    </row>
    <row r="160" customFormat="false" ht="15" hidden="false" customHeight="false" outlineLevel="0" collapsed="false">
      <c r="A160" s="5" t="s">
        <v>89</v>
      </c>
      <c r="B160" s="5" t="s">
        <v>90</v>
      </c>
      <c r="C160" s="5" t="s">
        <v>319</v>
      </c>
      <c r="D160" s="5" t="s">
        <v>315</v>
      </c>
      <c r="E160" s="5" t="s">
        <v>147</v>
      </c>
      <c r="F160" s="5" t="s">
        <v>1051</v>
      </c>
      <c r="G160" s="5" t="s">
        <v>1052</v>
      </c>
    </row>
    <row r="161" customFormat="false" ht="15" hidden="false" customHeight="false" outlineLevel="0" collapsed="false">
      <c r="A161" s="5" t="s">
        <v>89</v>
      </c>
      <c r="B161" s="5" t="s">
        <v>90</v>
      </c>
      <c r="C161" s="5" t="s">
        <v>320</v>
      </c>
      <c r="D161" s="5" t="s">
        <v>315</v>
      </c>
      <c r="E161" s="5" t="s">
        <v>149</v>
      </c>
      <c r="F161" s="5" t="s">
        <v>1051</v>
      </c>
      <c r="G161" s="5" t="s">
        <v>1052</v>
      </c>
    </row>
    <row r="162" customFormat="false" ht="15" hidden="false" customHeight="false" outlineLevel="0" collapsed="false">
      <c r="A162" s="5" t="s">
        <v>89</v>
      </c>
      <c r="B162" s="5" t="s">
        <v>90</v>
      </c>
      <c r="C162" s="5" t="s">
        <v>321</v>
      </c>
      <c r="D162" s="5" t="s">
        <v>315</v>
      </c>
      <c r="E162" s="5" t="s">
        <v>151</v>
      </c>
      <c r="F162" s="5" t="s">
        <v>1051</v>
      </c>
      <c r="G162" s="5" t="s">
        <v>1052</v>
      </c>
    </row>
    <row r="163" customFormat="false" ht="15" hidden="false" customHeight="false" outlineLevel="0" collapsed="false">
      <c r="A163" s="5" t="s">
        <v>89</v>
      </c>
      <c r="B163" s="5" t="s">
        <v>90</v>
      </c>
      <c r="C163" s="5" t="s">
        <v>322</v>
      </c>
      <c r="D163" s="5" t="s">
        <v>315</v>
      </c>
      <c r="E163" s="5" t="s">
        <v>153</v>
      </c>
      <c r="F163" s="5" t="s">
        <v>1051</v>
      </c>
      <c r="G163" s="5" t="s">
        <v>1052</v>
      </c>
    </row>
    <row r="164" customFormat="false" ht="15" hidden="false" customHeight="false" outlineLevel="0" collapsed="false">
      <c r="A164" s="5" t="s">
        <v>89</v>
      </c>
      <c r="B164" s="5" t="s">
        <v>90</v>
      </c>
      <c r="C164" s="5" t="s">
        <v>323</v>
      </c>
      <c r="D164" s="5" t="s">
        <v>315</v>
      </c>
      <c r="E164" s="5" t="s">
        <v>155</v>
      </c>
      <c r="F164" s="5" t="s">
        <v>1051</v>
      </c>
      <c r="G164" s="5" t="s">
        <v>1052</v>
      </c>
    </row>
    <row r="165" customFormat="false" ht="15" hidden="false" customHeight="false" outlineLevel="0" collapsed="false">
      <c r="A165" s="5" t="s">
        <v>89</v>
      </c>
      <c r="B165" s="5" t="s">
        <v>90</v>
      </c>
      <c r="C165" s="5" t="s">
        <v>324</v>
      </c>
      <c r="D165" s="5" t="s">
        <v>315</v>
      </c>
      <c r="E165" s="5" t="s">
        <v>157</v>
      </c>
      <c r="F165" s="5" t="s">
        <v>1051</v>
      </c>
      <c r="G165" s="5" t="s">
        <v>1052</v>
      </c>
    </row>
    <row r="166" customFormat="false" ht="15" hidden="false" customHeight="false" outlineLevel="0" collapsed="false">
      <c r="A166" s="5" t="s">
        <v>89</v>
      </c>
      <c r="B166" s="5" t="s">
        <v>90</v>
      </c>
      <c r="C166" s="5" t="s">
        <v>325</v>
      </c>
      <c r="D166" s="5" t="s">
        <v>315</v>
      </c>
      <c r="E166" s="5" t="s">
        <v>95</v>
      </c>
      <c r="F166" s="5" t="s">
        <v>1053</v>
      </c>
      <c r="G166" s="5" t="s">
        <v>1052</v>
      </c>
    </row>
    <row r="167" customFormat="false" ht="15" hidden="false" customHeight="false" outlineLevel="0" collapsed="false">
      <c r="A167" s="5" t="s">
        <v>89</v>
      </c>
      <c r="B167" s="5" t="s">
        <v>90</v>
      </c>
      <c r="C167" s="5" t="s">
        <v>326</v>
      </c>
      <c r="D167" s="5" t="s">
        <v>97</v>
      </c>
      <c r="E167" s="5" t="s">
        <v>93</v>
      </c>
      <c r="F167" s="5" t="s">
        <v>1051</v>
      </c>
      <c r="G167" s="5" t="s">
        <v>1052</v>
      </c>
    </row>
    <row r="168" customFormat="false" ht="15" hidden="false" customHeight="false" outlineLevel="0" collapsed="false">
      <c r="A168" s="5" t="s">
        <v>89</v>
      </c>
      <c r="B168" s="5" t="s">
        <v>90</v>
      </c>
      <c r="C168" s="5" t="s">
        <v>96</v>
      </c>
      <c r="D168" s="5" t="s">
        <v>97</v>
      </c>
      <c r="E168" s="5" t="s">
        <v>98</v>
      </c>
      <c r="F168" s="5" t="s">
        <v>1051</v>
      </c>
      <c r="G168" s="5" t="s">
        <v>1052</v>
      </c>
    </row>
    <row r="169" customFormat="false" ht="15" hidden="false" customHeight="false" outlineLevel="0" collapsed="false">
      <c r="A169" s="5" t="s">
        <v>89</v>
      </c>
      <c r="B169" s="5" t="s">
        <v>90</v>
      </c>
      <c r="C169" s="5" t="s">
        <v>327</v>
      </c>
      <c r="D169" s="5" t="s">
        <v>97</v>
      </c>
      <c r="E169" s="5" t="s">
        <v>143</v>
      </c>
      <c r="F169" s="5" t="s">
        <v>1051</v>
      </c>
      <c r="G169" s="5" t="s">
        <v>1052</v>
      </c>
    </row>
    <row r="170" customFormat="false" ht="15" hidden="false" customHeight="false" outlineLevel="0" collapsed="false">
      <c r="A170" s="5" t="s">
        <v>89</v>
      </c>
      <c r="B170" s="5" t="s">
        <v>90</v>
      </c>
      <c r="C170" s="5" t="s">
        <v>328</v>
      </c>
      <c r="D170" s="5" t="s">
        <v>97</v>
      </c>
      <c r="E170" s="5" t="s">
        <v>145</v>
      </c>
      <c r="F170" s="5" t="s">
        <v>1051</v>
      </c>
      <c r="G170" s="5" t="s">
        <v>1052</v>
      </c>
    </row>
    <row r="171" customFormat="false" ht="15" hidden="false" customHeight="false" outlineLevel="0" collapsed="false">
      <c r="A171" s="5" t="s">
        <v>89</v>
      </c>
      <c r="B171" s="5" t="s">
        <v>90</v>
      </c>
      <c r="C171" s="5" t="s">
        <v>329</v>
      </c>
      <c r="D171" s="5" t="s">
        <v>97</v>
      </c>
      <c r="E171" s="5" t="s">
        <v>147</v>
      </c>
      <c r="F171" s="5" t="s">
        <v>1051</v>
      </c>
      <c r="G171" s="5" t="s">
        <v>1052</v>
      </c>
    </row>
    <row r="172" customFormat="false" ht="15" hidden="false" customHeight="false" outlineLevel="0" collapsed="false">
      <c r="A172" s="5" t="s">
        <v>89</v>
      </c>
      <c r="B172" s="5" t="s">
        <v>90</v>
      </c>
      <c r="C172" s="5" t="s">
        <v>330</v>
      </c>
      <c r="D172" s="5" t="s">
        <v>97</v>
      </c>
      <c r="E172" s="5" t="s">
        <v>149</v>
      </c>
      <c r="F172" s="5" t="s">
        <v>1051</v>
      </c>
      <c r="G172" s="5" t="s">
        <v>1052</v>
      </c>
    </row>
    <row r="173" customFormat="false" ht="15" hidden="false" customHeight="false" outlineLevel="0" collapsed="false">
      <c r="A173" s="5" t="s">
        <v>89</v>
      </c>
      <c r="B173" s="5" t="s">
        <v>90</v>
      </c>
      <c r="C173" s="5" t="s">
        <v>331</v>
      </c>
      <c r="D173" s="5" t="s">
        <v>97</v>
      </c>
      <c r="E173" s="5" t="s">
        <v>151</v>
      </c>
      <c r="F173" s="5" t="s">
        <v>1051</v>
      </c>
      <c r="G173" s="5" t="s">
        <v>1052</v>
      </c>
    </row>
    <row r="174" customFormat="false" ht="15" hidden="false" customHeight="false" outlineLevel="0" collapsed="false">
      <c r="A174" s="5" t="s">
        <v>89</v>
      </c>
      <c r="B174" s="5" t="s">
        <v>90</v>
      </c>
      <c r="C174" s="5" t="s">
        <v>332</v>
      </c>
      <c r="D174" s="5" t="s">
        <v>97</v>
      </c>
      <c r="E174" s="5" t="s">
        <v>153</v>
      </c>
      <c r="F174" s="5" t="s">
        <v>1051</v>
      </c>
      <c r="G174" s="5" t="s">
        <v>1052</v>
      </c>
    </row>
    <row r="175" customFormat="false" ht="15" hidden="false" customHeight="false" outlineLevel="0" collapsed="false">
      <c r="A175" s="5" t="s">
        <v>89</v>
      </c>
      <c r="B175" s="5" t="s">
        <v>90</v>
      </c>
      <c r="C175" s="5" t="s">
        <v>333</v>
      </c>
      <c r="D175" s="5" t="s">
        <v>97</v>
      </c>
      <c r="E175" s="5" t="s">
        <v>155</v>
      </c>
      <c r="F175" s="5" t="s">
        <v>1051</v>
      </c>
      <c r="G175" s="5" t="s">
        <v>1052</v>
      </c>
    </row>
    <row r="176" customFormat="false" ht="15" hidden="false" customHeight="false" outlineLevel="0" collapsed="false">
      <c r="A176" s="5" t="s">
        <v>89</v>
      </c>
      <c r="B176" s="5" t="s">
        <v>90</v>
      </c>
      <c r="C176" s="5" t="s">
        <v>334</v>
      </c>
      <c r="D176" s="5" t="s">
        <v>97</v>
      </c>
      <c r="E176" s="5" t="s">
        <v>157</v>
      </c>
      <c r="F176" s="5" t="s">
        <v>1051</v>
      </c>
      <c r="G176" s="5" t="s">
        <v>1052</v>
      </c>
    </row>
    <row r="177" customFormat="false" ht="15" hidden="false" customHeight="false" outlineLevel="0" collapsed="false">
      <c r="A177" s="5" t="s">
        <v>89</v>
      </c>
      <c r="B177" s="5" t="s">
        <v>90</v>
      </c>
      <c r="C177" s="5" t="s">
        <v>99</v>
      </c>
      <c r="D177" s="5" t="s">
        <v>97</v>
      </c>
      <c r="E177" s="5" t="s">
        <v>95</v>
      </c>
      <c r="F177" s="5" t="s">
        <v>1053</v>
      </c>
      <c r="G177" s="5" t="s">
        <v>1052</v>
      </c>
    </row>
    <row r="178" customFormat="false" ht="15" hidden="false" customHeight="false" outlineLevel="0" collapsed="false">
      <c r="A178" s="5" t="s">
        <v>89</v>
      </c>
      <c r="B178" s="5" t="s">
        <v>90</v>
      </c>
      <c r="C178" s="5" t="s">
        <v>335</v>
      </c>
      <c r="D178" s="5" t="s">
        <v>336</v>
      </c>
      <c r="E178" s="5" t="s">
        <v>93</v>
      </c>
      <c r="F178" s="5" t="s">
        <v>1051</v>
      </c>
      <c r="G178" s="5" t="s">
        <v>1052</v>
      </c>
    </row>
    <row r="179" customFormat="false" ht="15" hidden="false" customHeight="false" outlineLevel="0" collapsed="false">
      <c r="A179" s="5" t="s">
        <v>89</v>
      </c>
      <c r="B179" s="5" t="s">
        <v>90</v>
      </c>
      <c r="C179" s="5" t="s">
        <v>337</v>
      </c>
      <c r="D179" s="5" t="s">
        <v>336</v>
      </c>
      <c r="E179" s="5" t="s">
        <v>98</v>
      </c>
      <c r="F179" s="5" t="s">
        <v>1051</v>
      </c>
      <c r="G179" s="5" t="s">
        <v>1052</v>
      </c>
    </row>
    <row r="180" customFormat="false" ht="15" hidden="false" customHeight="false" outlineLevel="0" collapsed="false">
      <c r="A180" s="5" t="s">
        <v>89</v>
      </c>
      <c r="B180" s="5" t="s">
        <v>90</v>
      </c>
      <c r="C180" s="5" t="s">
        <v>338</v>
      </c>
      <c r="D180" s="5" t="s">
        <v>336</v>
      </c>
      <c r="E180" s="5" t="s">
        <v>143</v>
      </c>
      <c r="F180" s="5" t="s">
        <v>1051</v>
      </c>
      <c r="G180" s="5" t="s">
        <v>1052</v>
      </c>
    </row>
    <row r="181" customFormat="false" ht="15" hidden="false" customHeight="false" outlineLevel="0" collapsed="false">
      <c r="A181" s="5" t="s">
        <v>89</v>
      </c>
      <c r="B181" s="5" t="s">
        <v>90</v>
      </c>
      <c r="C181" s="5" t="s">
        <v>339</v>
      </c>
      <c r="D181" s="5" t="s">
        <v>336</v>
      </c>
      <c r="E181" s="5" t="s">
        <v>145</v>
      </c>
      <c r="F181" s="5" t="s">
        <v>1051</v>
      </c>
      <c r="G181" s="5" t="s">
        <v>1052</v>
      </c>
    </row>
    <row r="182" customFormat="false" ht="15" hidden="false" customHeight="false" outlineLevel="0" collapsed="false">
      <c r="A182" s="5" t="s">
        <v>89</v>
      </c>
      <c r="B182" s="5" t="s">
        <v>90</v>
      </c>
      <c r="C182" s="5" t="s">
        <v>340</v>
      </c>
      <c r="D182" s="5" t="s">
        <v>336</v>
      </c>
      <c r="E182" s="5" t="s">
        <v>147</v>
      </c>
      <c r="F182" s="5" t="s">
        <v>1051</v>
      </c>
      <c r="G182" s="5" t="s">
        <v>1052</v>
      </c>
    </row>
    <row r="183" customFormat="false" ht="15" hidden="false" customHeight="false" outlineLevel="0" collapsed="false">
      <c r="A183" s="5" t="s">
        <v>89</v>
      </c>
      <c r="B183" s="5" t="s">
        <v>90</v>
      </c>
      <c r="C183" s="5" t="s">
        <v>341</v>
      </c>
      <c r="D183" s="5" t="s">
        <v>336</v>
      </c>
      <c r="E183" s="5" t="s">
        <v>149</v>
      </c>
      <c r="F183" s="5" t="s">
        <v>1051</v>
      </c>
      <c r="G183" s="5" t="s">
        <v>1052</v>
      </c>
    </row>
    <row r="184" customFormat="false" ht="15" hidden="false" customHeight="false" outlineLevel="0" collapsed="false">
      <c r="A184" s="5" t="s">
        <v>89</v>
      </c>
      <c r="B184" s="5" t="s">
        <v>90</v>
      </c>
      <c r="C184" s="5" t="s">
        <v>342</v>
      </c>
      <c r="D184" s="5" t="s">
        <v>336</v>
      </c>
      <c r="E184" s="5" t="s">
        <v>151</v>
      </c>
      <c r="F184" s="5" t="s">
        <v>1051</v>
      </c>
      <c r="G184" s="5" t="s">
        <v>1052</v>
      </c>
    </row>
    <row r="185" customFormat="false" ht="15" hidden="false" customHeight="false" outlineLevel="0" collapsed="false">
      <c r="A185" s="5" t="s">
        <v>89</v>
      </c>
      <c r="B185" s="5" t="s">
        <v>90</v>
      </c>
      <c r="C185" s="5" t="s">
        <v>343</v>
      </c>
      <c r="D185" s="5" t="s">
        <v>336</v>
      </c>
      <c r="E185" s="5" t="s">
        <v>153</v>
      </c>
      <c r="F185" s="5" t="s">
        <v>1051</v>
      </c>
      <c r="G185" s="5" t="s">
        <v>1052</v>
      </c>
    </row>
    <row r="186" customFormat="false" ht="15" hidden="false" customHeight="false" outlineLevel="0" collapsed="false">
      <c r="A186" s="5" t="s">
        <v>89</v>
      </c>
      <c r="B186" s="5" t="s">
        <v>90</v>
      </c>
      <c r="C186" s="5" t="s">
        <v>344</v>
      </c>
      <c r="D186" s="5" t="s">
        <v>336</v>
      </c>
      <c r="E186" s="5" t="s">
        <v>155</v>
      </c>
      <c r="F186" s="5" t="s">
        <v>1051</v>
      </c>
      <c r="G186" s="5" t="s">
        <v>1052</v>
      </c>
    </row>
    <row r="187" customFormat="false" ht="15" hidden="false" customHeight="false" outlineLevel="0" collapsed="false">
      <c r="A187" s="5" t="s">
        <v>89</v>
      </c>
      <c r="B187" s="5" t="s">
        <v>90</v>
      </c>
      <c r="C187" s="5" t="s">
        <v>345</v>
      </c>
      <c r="D187" s="5" t="s">
        <v>336</v>
      </c>
      <c r="E187" s="5" t="s">
        <v>157</v>
      </c>
      <c r="F187" s="5" t="s">
        <v>1051</v>
      </c>
      <c r="G187" s="5" t="s">
        <v>1052</v>
      </c>
    </row>
    <row r="188" customFormat="false" ht="15" hidden="false" customHeight="false" outlineLevel="0" collapsed="false">
      <c r="A188" s="5" t="s">
        <v>89</v>
      </c>
      <c r="B188" s="5" t="s">
        <v>90</v>
      </c>
      <c r="C188" s="5" t="s">
        <v>346</v>
      </c>
      <c r="D188" s="5" t="s">
        <v>336</v>
      </c>
      <c r="E188" s="5" t="s">
        <v>95</v>
      </c>
      <c r="F188" s="5" t="s">
        <v>1053</v>
      </c>
      <c r="G188" s="5" t="s">
        <v>1052</v>
      </c>
    </row>
    <row r="189" customFormat="false" ht="15" hidden="false" customHeight="false" outlineLevel="0" collapsed="false">
      <c r="A189" s="5" t="s">
        <v>89</v>
      </c>
      <c r="B189" s="5" t="s">
        <v>90</v>
      </c>
      <c r="C189" s="5" t="s">
        <v>347</v>
      </c>
      <c r="D189" s="5" t="s">
        <v>348</v>
      </c>
      <c r="E189" s="5" t="s">
        <v>93</v>
      </c>
      <c r="F189" s="5" t="s">
        <v>1051</v>
      </c>
      <c r="G189" s="5" t="s">
        <v>1052</v>
      </c>
    </row>
    <row r="190" customFormat="false" ht="15" hidden="false" customHeight="false" outlineLevel="0" collapsed="false">
      <c r="A190" s="5" t="s">
        <v>89</v>
      </c>
      <c r="B190" s="5" t="s">
        <v>90</v>
      </c>
      <c r="C190" s="5" t="s">
        <v>349</v>
      </c>
      <c r="D190" s="5" t="s">
        <v>348</v>
      </c>
      <c r="E190" s="5" t="s">
        <v>98</v>
      </c>
      <c r="F190" s="5" t="s">
        <v>1051</v>
      </c>
      <c r="G190" s="5" t="s">
        <v>1052</v>
      </c>
    </row>
    <row r="191" customFormat="false" ht="15" hidden="false" customHeight="false" outlineLevel="0" collapsed="false">
      <c r="A191" s="5" t="s">
        <v>89</v>
      </c>
      <c r="B191" s="5" t="s">
        <v>90</v>
      </c>
      <c r="C191" s="5" t="s">
        <v>350</v>
      </c>
      <c r="D191" s="5" t="s">
        <v>348</v>
      </c>
      <c r="E191" s="5" t="s">
        <v>143</v>
      </c>
      <c r="F191" s="5" t="s">
        <v>1051</v>
      </c>
      <c r="G191" s="5" t="s">
        <v>1052</v>
      </c>
    </row>
    <row r="192" customFormat="false" ht="15" hidden="false" customHeight="false" outlineLevel="0" collapsed="false">
      <c r="A192" s="5" t="s">
        <v>89</v>
      </c>
      <c r="B192" s="5" t="s">
        <v>90</v>
      </c>
      <c r="C192" s="5" t="s">
        <v>351</v>
      </c>
      <c r="D192" s="5" t="s">
        <v>348</v>
      </c>
      <c r="E192" s="5" t="s">
        <v>145</v>
      </c>
      <c r="F192" s="5" t="s">
        <v>1051</v>
      </c>
      <c r="G192" s="5" t="s">
        <v>1052</v>
      </c>
    </row>
    <row r="193" customFormat="false" ht="15" hidden="false" customHeight="false" outlineLevel="0" collapsed="false">
      <c r="A193" s="5" t="s">
        <v>89</v>
      </c>
      <c r="B193" s="5" t="s">
        <v>90</v>
      </c>
      <c r="C193" s="5" t="s">
        <v>352</v>
      </c>
      <c r="D193" s="5" t="s">
        <v>348</v>
      </c>
      <c r="E193" s="5" t="s">
        <v>147</v>
      </c>
      <c r="F193" s="5" t="s">
        <v>1051</v>
      </c>
      <c r="G193" s="5" t="s">
        <v>1052</v>
      </c>
    </row>
    <row r="194" customFormat="false" ht="15" hidden="false" customHeight="false" outlineLevel="0" collapsed="false">
      <c r="A194" s="5" t="s">
        <v>89</v>
      </c>
      <c r="B194" s="5" t="s">
        <v>90</v>
      </c>
      <c r="C194" s="5" t="s">
        <v>353</v>
      </c>
      <c r="D194" s="5" t="s">
        <v>348</v>
      </c>
      <c r="E194" s="5" t="s">
        <v>149</v>
      </c>
      <c r="F194" s="5" t="s">
        <v>1051</v>
      </c>
      <c r="G194" s="5" t="s">
        <v>1052</v>
      </c>
    </row>
    <row r="195" customFormat="false" ht="15" hidden="false" customHeight="false" outlineLevel="0" collapsed="false">
      <c r="A195" s="5" t="s">
        <v>89</v>
      </c>
      <c r="B195" s="5" t="s">
        <v>90</v>
      </c>
      <c r="C195" s="5" t="s">
        <v>354</v>
      </c>
      <c r="D195" s="5" t="s">
        <v>348</v>
      </c>
      <c r="E195" s="5" t="s">
        <v>151</v>
      </c>
      <c r="F195" s="5" t="s">
        <v>1051</v>
      </c>
      <c r="G195" s="5" t="s">
        <v>1052</v>
      </c>
    </row>
    <row r="196" customFormat="false" ht="15" hidden="false" customHeight="false" outlineLevel="0" collapsed="false">
      <c r="A196" s="5" t="s">
        <v>89</v>
      </c>
      <c r="B196" s="5" t="s">
        <v>90</v>
      </c>
      <c r="C196" s="5" t="s">
        <v>355</v>
      </c>
      <c r="D196" s="5" t="s">
        <v>348</v>
      </c>
      <c r="E196" s="5" t="s">
        <v>153</v>
      </c>
      <c r="F196" s="5" t="s">
        <v>1051</v>
      </c>
      <c r="G196" s="5" t="s">
        <v>1052</v>
      </c>
    </row>
    <row r="197" customFormat="false" ht="15" hidden="false" customHeight="false" outlineLevel="0" collapsed="false">
      <c r="A197" s="5" t="s">
        <v>89</v>
      </c>
      <c r="B197" s="5" t="s">
        <v>90</v>
      </c>
      <c r="C197" s="5" t="s">
        <v>356</v>
      </c>
      <c r="D197" s="5" t="s">
        <v>348</v>
      </c>
      <c r="E197" s="5" t="s">
        <v>155</v>
      </c>
      <c r="F197" s="5" t="s">
        <v>1051</v>
      </c>
      <c r="G197" s="5" t="s">
        <v>1052</v>
      </c>
    </row>
    <row r="198" customFormat="false" ht="15" hidden="false" customHeight="false" outlineLevel="0" collapsed="false">
      <c r="A198" s="5" t="s">
        <v>89</v>
      </c>
      <c r="B198" s="5" t="s">
        <v>90</v>
      </c>
      <c r="C198" s="5" t="s">
        <v>357</v>
      </c>
      <c r="D198" s="5" t="s">
        <v>348</v>
      </c>
      <c r="E198" s="5" t="s">
        <v>157</v>
      </c>
      <c r="F198" s="5" t="s">
        <v>1051</v>
      </c>
      <c r="G198" s="5" t="s">
        <v>1052</v>
      </c>
    </row>
    <row r="199" customFormat="false" ht="15" hidden="false" customHeight="false" outlineLevel="0" collapsed="false">
      <c r="A199" s="5" t="s">
        <v>89</v>
      </c>
      <c r="B199" s="5" t="s">
        <v>90</v>
      </c>
      <c r="C199" s="5" t="s">
        <v>358</v>
      </c>
      <c r="D199" s="5" t="s">
        <v>348</v>
      </c>
      <c r="E199" s="5" t="s">
        <v>95</v>
      </c>
      <c r="F199" s="5" t="s">
        <v>1053</v>
      </c>
      <c r="G199" s="5" t="s">
        <v>1052</v>
      </c>
    </row>
    <row r="200" customFormat="false" ht="15" hidden="false" customHeight="false" outlineLevel="0" collapsed="false">
      <c r="A200" s="5" t="s">
        <v>89</v>
      </c>
      <c r="B200" s="5" t="s">
        <v>90</v>
      </c>
      <c r="C200" s="5" t="s">
        <v>359</v>
      </c>
      <c r="D200" s="5" t="s">
        <v>360</v>
      </c>
      <c r="E200" s="5" t="s">
        <v>93</v>
      </c>
      <c r="F200" s="5" t="s">
        <v>1051</v>
      </c>
      <c r="G200" s="5" t="s">
        <v>1052</v>
      </c>
    </row>
    <row r="201" customFormat="false" ht="15" hidden="false" customHeight="false" outlineLevel="0" collapsed="false">
      <c r="A201" s="5" t="s">
        <v>89</v>
      </c>
      <c r="B201" s="5" t="s">
        <v>90</v>
      </c>
      <c r="C201" s="5" t="s">
        <v>361</v>
      </c>
      <c r="D201" s="5" t="s">
        <v>360</v>
      </c>
      <c r="E201" s="5" t="s">
        <v>98</v>
      </c>
      <c r="F201" s="5" t="s">
        <v>1051</v>
      </c>
      <c r="G201" s="5" t="s">
        <v>1052</v>
      </c>
    </row>
    <row r="202" customFormat="false" ht="15" hidden="false" customHeight="false" outlineLevel="0" collapsed="false">
      <c r="A202" s="5" t="s">
        <v>89</v>
      </c>
      <c r="B202" s="5" t="s">
        <v>90</v>
      </c>
      <c r="C202" s="5" t="s">
        <v>362</v>
      </c>
      <c r="D202" s="5" t="s">
        <v>360</v>
      </c>
      <c r="E202" s="5" t="s">
        <v>143</v>
      </c>
      <c r="F202" s="5" t="s">
        <v>1051</v>
      </c>
      <c r="G202" s="5" t="s">
        <v>1052</v>
      </c>
    </row>
    <row r="203" customFormat="false" ht="15" hidden="false" customHeight="false" outlineLevel="0" collapsed="false">
      <c r="A203" s="5" t="s">
        <v>89</v>
      </c>
      <c r="B203" s="5" t="s">
        <v>90</v>
      </c>
      <c r="C203" s="5" t="s">
        <v>363</v>
      </c>
      <c r="D203" s="5" t="s">
        <v>360</v>
      </c>
      <c r="E203" s="5" t="s">
        <v>145</v>
      </c>
      <c r="F203" s="5" t="s">
        <v>1051</v>
      </c>
      <c r="G203" s="5" t="s">
        <v>1052</v>
      </c>
    </row>
    <row r="204" customFormat="false" ht="15" hidden="false" customHeight="false" outlineLevel="0" collapsed="false">
      <c r="A204" s="5" t="s">
        <v>89</v>
      </c>
      <c r="B204" s="5" t="s">
        <v>90</v>
      </c>
      <c r="C204" s="5" t="s">
        <v>364</v>
      </c>
      <c r="D204" s="5" t="s">
        <v>360</v>
      </c>
      <c r="E204" s="5" t="s">
        <v>147</v>
      </c>
      <c r="F204" s="5" t="s">
        <v>1051</v>
      </c>
      <c r="G204" s="5" t="s">
        <v>1052</v>
      </c>
    </row>
    <row r="205" customFormat="false" ht="15" hidden="false" customHeight="false" outlineLevel="0" collapsed="false">
      <c r="A205" s="5" t="s">
        <v>89</v>
      </c>
      <c r="B205" s="5" t="s">
        <v>90</v>
      </c>
      <c r="C205" s="5" t="s">
        <v>365</v>
      </c>
      <c r="D205" s="5" t="s">
        <v>360</v>
      </c>
      <c r="E205" s="5" t="s">
        <v>149</v>
      </c>
      <c r="F205" s="5" t="s">
        <v>1051</v>
      </c>
      <c r="G205" s="5" t="s">
        <v>1052</v>
      </c>
    </row>
    <row r="206" customFormat="false" ht="15" hidden="false" customHeight="false" outlineLevel="0" collapsed="false">
      <c r="A206" s="5" t="s">
        <v>89</v>
      </c>
      <c r="B206" s="5" t="s">
        <v>90</v>
      </c>
      <c r="C206" s="5" t="s">
        <v>366</v>
      </c>
      <c r="D206" s="5" t="s">
        <v>360</v>
      </c>
      <c r="E206" s="5" t="s">
        <v>151</v>
      </c>
      <c r="F206" s="5" t="s">
        <v>1051</v>
      </c>
      <c r="G206" s="5" t="s">
        <v>1052</v>
      </c>
    </row>
    <row r="207" customFormat="false" ht="15" hidden="false" customHeight="false" outlineLevel="0" collapsed="false">
      <c r="A207" s="5" t="s">
        <v>89</v>
      </c>
      <c r="B207" s="5" t="s">
        <v>90</v>
      </c>
      <c r="C207" s="5" t="s">
        <v>367</v>
      </c>
      <c r="D207" s="5" t="s">
        <v>360</v>
      </c>
      <c r="E207" s="5" t="s">
        <v>153</v>
      </c>
      <c r="F207" s="5" t="s">
        <v>1051</v>
      </c>
      <c r="G207" s="5" t="s">
        <v>1052</v>
      </c>
    </row>
    <row r="208" customFormat="false" ht="15" hidden="false" customHeight="false" outlineLevel="0" collapsed="false">
      <c r="A208" s="5" t="s">
        <v>89</v>
      </c>
      <c r="B208" s="5" t="s">
        <v>90</v>
      </c>
      <c r="C208" s="5" t="s">
        <v>368</v>
      </c>
      <c r="D208" s="5" t="s">
        <v>360</v>
      </c>
      <c r="E208" s="5" t="s">
        <v>155</v>
      </c>
      <c r="F208" s="5" t="s">
        <v>1051</v>
      </c>
      <c r="G208" s="5" t="s">
        <v>1052</v>
      </c>
    </row>
    <row r="209" customFormat="false" ht="15" hidden="false" customHeight="false" outlineLevel="0" collapsed="false">
      <c r="A209" s="5" t="s">
        <v>89</v>
      </c>
      <c r="B209" s="5" t="s">
        <v>90</v>
      </c>
      <c r="C209" s="5" t="s">
        <v>369</v>
      </c>
      <c r="D209" s="5" t="s">
        <v>360</v>
      </c>
      <c r="E209" s="5" t="s">
        <v>157</v>
      </c>
      <c r="F209" s="5" t="s">
        <v>1051</v>
      </c>
      <c r="G209" s="5" t="s">
        <v>1052</v>
      </c>
    </row>
    <row r="210" customFormat="false" ht="15" hidden="false" customHeight="false" outlineLevel="0" collapsed="false">
      <c r="A210" s="5" t="s">
        <v>89</v>
      </c>
      <c r="B210" s="5" t="s">
        <v>90</v>
      </c>
      <c r="C210" s="5" t="s">
        <v>370</v>
      </c>
      <c r="D210" s="5" t="s">
        <v>360</v>
      </c>
      <c r="E210" s="5" t="s">
        <v>95</v>
      </c>
      <c r="F210" s="5" t="s">
        <v>1053</v>
      </c>
      <c r="G210" s="5" t="s">
        <v>1052</v>
      </c>
    </row>
    <row r="211" customFormat="false" ht="15" hidden="false" customHeight="false" outlineLevel="0" collapsed="false">
      <c r="A211" s="5" t="s">
        <v>89</v>
      </c>
      <c r="B211" s="5" t="s">
        <v>90</v>
      </c>
      <c r="C211" s="5" t="s">
        <v>371</v>
      </c>
      <c r="D211" s="5" t="s">
        <v>372</v>
      </c>
      <c r="E211" s="5" t="s">
        <v>93</v>
      </c>
      <c r="F211" s="5" t="s">
        <v>1051</v>
      </c>
      <c r="G211" s="5" t="s">
        <v>1052</v>
      </c>
    </row>
    <row r="212" customFormat="false" ht="15" hidden="false" customHeight="false" outlineLevel="0" collapsed="false">
      <c r="A212" s="5" t="s">
        <v>89</v>
      </c>
      <c r="B212" s="5" t="s">
        <v>90</v>
      </c>
      <c r="C212" s="5" t="s">
        <v>373</v>
      </c>
      <c r="D212" s="5" t="s">
        <v>372</v>
      </c>
      <c r="E212" s="5" t="s">
        <v>98</v>
      </c>
      <c r="F212" s="5" t="s">
        <v>1051</v>
      </c>
      <c r="G212" s="5" t="s">
        <v>1052</v>
      </c>
    </row>
    <row r="213" customFormat="false" ht="15" hidden="false" customHeight="false" outlineLevel="0" collapsed="false">
      <c r="A213" s="5" t="s">
        <v>89</v>
      </c>
      <c r="B213" s="5" t="s">
        <v>90</v>
      </c>
      <c r="C213" s="5" t="s">
        <v>374</v>
      </c>
      <c r="D213" s="5" t="s">
        <v>372</v>
      </c>
      <c r="E213" s="5" t="s">
        <v>143</v>
      </c>
      <c r="F213" s="5" t="s">
        <v>1051</v>
      </c>
      <c r="G213" s="5" t="s">
        <v>1052</v>
      </c>
    </row>
    <row r="214" customFormat="false" ht="15" hidden="false" customHeight="false" outlineLevel="0" collapsed="false">
      <c r="A214" s="5" t="s">
        <v>89</v>
      </c>
      <c r="B214" s="5" t="s">
        <v>90</v>
      </c>
      <c r="C214" s="5" t="s">
        <v>375</v>
      </c>
      <c r="D214" s="5" t="s">
        <v>372</v>
      </c>
      <c r="E214" s="5" t="s">
        <v>145</v>
      </c>
      <c r="F214" s="5" t="s">
        <v>1051</v>
      </c>
      <c r="G214" s="5" t="s">
        <v>1052</v>
      </c>
    </row>
    <row r="215" customFormat="false" ht="15" hidden="false" customHeight="false" outlineLevel="0" collapsed="false">
      <c r="A215" s="5" t="s">
        <v>89</v>
      </c>
      <c r="B215" s="5" t="s">
        <v>90</v>
      </c>
      <c r="C215" s="5" t="s">
        <v>376</v>
      </c>
      <c r="D215" s="5" t="s">
        <v>372</v>
      </c>
      <c r="E215" s="5" t="s">
        <v>147</v>
      </c>
      <c r="F215" s="5" t="s">
        <v>1051</v>
      </c>
      <c r="G215" s="5" t="s">
        <v>1052</v>
      </c>
    </row>
    <row r="216" customFormat="false" ht="15" hidden="false" customHeight="false" outlineLevel="0" collapsed="false">
      <c r="A216" s="5" t="s">
        <v>89</v>
      </c>
      <c r="B216" s="5" t="s">
        <v>90</v>
      </c>
      <c r="C216" s="5" t="s">
        <v>377</v>
      </c>
      <c r="D216" s="5" t="s">
        <v>372</v>
      </c>
      <c r="E216" s="5" t="s">
        <v>149</v>
      </c>
      <c r="F216" s="5" t="s">
        <v>1051</v>
      </c>
      <c r="G216" s="5" t="s">
        <v>1052</v>
      </c>
    </row>
    <row r="217" customFormat="false" ht="15" hidden="false" customHeight="false" outlineLevel="0" collapsed="false">
      <c r="A217" s="5" t="s">
        <v>89</v>
      </c>
      <c r="B217" s="5" t="s">
        <v>90</v>
      </c>
      <c r="C217" s="5" t="s">
        <v>378</v>
      </c>
      <c r="D217" s="5" t="s">
        <v>372</v>
      </c>
      <c r="E217" s="5" t="s">
        <v>151</v>
      </c>
      <c r="F217" s="5" t="s">
        <v>1051</v>
      </c>
      <c r="G217" s="5" t="s">
        <v>1052</v>
      </c>
    </row>
    <row r="218" customFormat="false" ht="15" hidden="false" customHeight="false" outlineLevel="0" collapsed="false">
      <c r="A218" s="5" t="s">
        <v>89</v>
      </c>
      <c r="B218" s="5" t="s">
        <v>90</v>
      </c>
      <c r="C218" s="5" t="s">
        <v>379</v>
      </c>
      <c r="D218" s="5" t="s">
        <v>372</v>
      </c>
      <c r="E218" s="5" t="s">
        <v>153</v>
      </c>
      <c r="F218" s="5" t="s">
        <v>1051</v>
      </c>
      <c r="G218" s="5" t="s">
        <v>1052</v>
      </c>
    </row>
    <row r="219" customFormat="false" ht="15" hidden="false" customHeight="false" outlineLevel="0" collapsed="false">
      <c r="A219" s="5" t="s">
        <v>89</v>
      </c>
      <c r="B219" s="5" t="s">
        <v>90</v>
      </c>
      <c r="C219" s="5" t="s">
        <v>380</v>
      </c>
      <c r="D219" s="5" t="s">
        <v>372</v>
      </c>
      <c r="E219" s="5" t="s">
        <v>155</v>
      </c>
      <c r="F219" s="5" t="s">
        <v>1051</v>
      </c>
      <c r="G219" s="5" t="s">
        <v>1052</v>
      </c>
    </row>
    <row r="220" customFormat="false" ht="15" hidden="false" customHeight="false" outlineLevel="0" collapsed="false">
      <c r="A220" s="5" t="s">
        <v>89</v>
      </c>
      <c r="B220" s="5" t="s">
        <v>90</v>
      </c>
      <c r="C220" s="5" t="s">
        <v>381</v>
      </c>
      <c r="D220" s="5" t="s">
        <v>372</v>
      </c>
      <c r="E220" s="5" t="s">
        <v>157</v>
      </c>
      <c r="F220" s="5" t="s">
        <v>1051</v>
      </c>
      <c r="G220" s="5" t="s">
        <v>1052</v>
      </c>
    </row>
    <row r="221" customFormat="false" ht="15" hidden="false" customHeight="false" outlineLevel="0" collapsed="false">
      <c r="A221" s="5" t="s">
        <v>89</v>
      </c>
      <c r="B221" s="5" t="s">
        <v>90</v>
      </c>
      <c r="C221" s="5" t="s">
        <v>382</v>
      </c>
      <c r="D221" s="5" t="s">
        <v>372</v>
      </c>
      <c r="E221" s="5" t="s">
        <v>95</v>
      </c>
      <c r="F221" s="5" t="s">
        <v>1053</v>
      </c>
      <c r="G221" s="5" t="s">
        <v>1052</v>
      </c>
    </row>
    <row r="222" customFormat="false" ht="15" hidden="false" customHeight="false" outlineLevel="0" collapsed="false">
      <c r="A222" s="5" t="s">
        <v>89</v>
      </c>
      <c r="B222" s="5" t="s">
        <v>105</v>
      </c>
      <c r="C222" s="5" t="s">
        <v>383</v>
      </c>
      <c r="D222" s="5" t="s">
        <v>384</v>
      </c>
      <c r="E222" s="5" t="s">
        <v>385</v>
      </c>
      <c r="F222" s="5" t="s">
        <v>1054</v>
      </c>
      <c r="G222" s="5" t="s">
        <v>1052</v>
      </c>
    </row>
    <row r="223" customFormat="false" ht="15" hidden="false" customHeight="false" outlineLevel="0" collapsed="false">
      <c r="A223" s="5" t="s">
        <v>89</v>
      </c>
      <c r="B223" s="5" t="s">
        <v>105</v>
      </c>
      <c r="C223" s="5" t="s">
        <v>386</v>
      </c>
      <c r="D223" s="5" t="s">
        <v>384</v>
      </c>
      <c r="E223" s="5" t="s">
        <v>387</v>
      </c>
      <c r="F223" s="5" t="s">
        <v>1054</v>
      </c>
      <c r="G223" s="5" t="s">
        <v>1052</v>
      </c>
    </row>
    <row r="224" customFormat="false" ht="15" hidden="false" customHeight="false" outlineLevel="0" collapsed="false">
      <c r="A224" s="5" t="s">
        <v>89</v>
      </c>
      <c r="B224" s="5" t="s">
        <v>105</v>
      </c>
      <c r="C224" s="5" t="s">
        <v>388</v>
      </c>
      <c r="D224" s="5" t="s">
        <v>384</v>
      </c>
      <c r="E224" s="5" t="s">
        <v>389</v>
      </c>
      <c r="F224" s="5" t="s">
        <v>1054</v>
      </c>
      <c r="G224" s="5" t="s">
        <v>1052</v>
      </c>
    </row>
    <row r="225" customFormat="false" ht="15" hidden="false" customHeight="false" outlineLevel="0" collapsed="false">
      <c r="A225" s="5" t="s">
        <v>89</v>
      </c>
      <c r="B225" s="5" t="s">
        <v>105</v>
      </c>
      <c r="C225" s="5" t="s">
        <v>390</v>
      </c>
      <c r="D225" s="5" t="s">
        <v>384</v>
      </c>
      <c r="E225" s="5" t="s">
        <v>108</v>
      </c>
      <c r="F225" s="5" t="s">
        <v>1054</v>
      </c>
      <c r="G225" s="5" t="s">
        <v>1052</v>
      </c>
    </row>
    <row r="226" customFormat="false" ht="15" hidden="false" customHeight="false" outlineLevel="0" collapsed="false">
      <c r="A226" s="5" t="s">
        <v>89</v>
      </c>
      <c r="B226" s="5" t="s">
        <v>105</v>
      </c>
      <c r="C226" s="5" t="s">
        <v>391</v>
      </c>
      <c r="D226" s="5" t="s">
        <v>384</v>
      </c>
      <c r="E226" s="5" t="s">
        <v>392</v>
      </c>
      <c r="F226" s="5" t="s">
        <v>1054</v>
      </c>
      <c r="G226" s="5" t="s">
        <v>1052</v>
      </c>
    </row>
    <row r="227" customFormat="false" ht="15" hidden="false" customHeight="false" outlineLevel="0" collapsed="false">
      <c r="A227" s="5" t="s">
        <v>89</v>
      </c>
      <c r="B227" s="5" t="s">
        <v>105</v>
      </c>
      <c r="C227" s="5" t="s">
        <v>393</v>
      </c>
      <c r="D227" s="5" t="s">
        <v>384</v>
      </c>
      <c r="E227" s="5" t="s">
        <v>394</v>
      </c>
      <c r="F227" s="5" t="s">
        <v>1054</v>
      </c>
      <c r="G227" s="5" t="s">
        <v>1052</v>
      </c>
    </row>
    <row r="228" customFormat="false" ht="15" hidden="false" customHeight="false" outlineLevel="0" collapsed="false">
      <c r="A228" s="5" t="s">
        <v>89</v>
      </c>
      <c r="B228" s="5" t="s">
        <v>105</v>
      </c>
      <c r="C228" s="5" t="s">
        <v>395</v>
      </c>
      <c r="D228" s="5" t="s">
        <v>396</v>
      </c>
      <c r="E228" s="5" t="s">
        <v>385</v>
      </c>
      <c r="F228" s="5" t="s">
        <v>1054</v>
      </c>
      <c r="G228" s="5" t="s">
        <v>1052</v>
      </c>
    </row>
    <row r="229" customFormat="false" ht="15" hidden="false" customHeight="false" outlineLevel="0" collapsed="false">
      <c r="A229" s="5" t="s">
        <v>89</v>
      </c>
      <c r="B229" s="5" t="s">
        <v>105</v>
      </c>
      <c r="C229" s="5" t="s">
        <v>397</v>
      </c>
      <c r="D229" s="5" t="s">
        <v>396</v>
      </c>
      <c r="E229" s="5" t="s">
        <v>387</v>
      </c>
      <c r="F229" s="5" t="s">
        <v>1054</v>
      </c>
      <c r="G229" s="5" t="s">
        <v>1052</v>
      </c>
    </row>
    <row r="230" customFormat="false" ht="15" hidden="false" customHeight="false" outlineLevel="0" collapsed="false">
      <c r="A230" s="5" t="s">
        <v>89</v>
      </c>
      <c r="B230" s="5" t="s">
        <v>105</v>
      </c>
      <c r="C230" s="5" t="s">
        <v>398</v>
      </c>
      <c r="D230" s="5" t="s">
        <v>396</v>
      </c>
      <c r="E230" s="5" t="s">
        <v>389</v>
      </c>
      <c r="F230" s="5" t="s">
        <v>1054</v>
      </c>
      <c r="G230" s="5" t="s">
        <v>1052</v>
      </c>
    </row>
    <row r="231" customFormat="false" ht="15" hidden="false" customHeight="false" outlineLevel="0" collapsed="false">
      <c r="A231" s="5" t="s">
        <v>89</v>
      </c>
      <c r="B231" s="5" t="s">
        <v>105</v>
      </c>
      <c r="C231" s="5" t="s">
        <v>399</v>
      </c>
      <c r="D231" s="5" t="s">
        <v>396</v>
      </c>
      <c r="E231" s="5" t="s">
        <v>108</v>
      </c>
      <c r="F231" s="5" t="s">
        <v>1054</v>
      </c>
      <c r="G231" s="5" t="s">
        <v>1052</v>
      </c>
    </row>
    <row r="232" customFormat="false" ht="15" hidden="false" customHeight="false" outlineLevel="0" collapsed="false">
      <c r="A232" s="5" t="s">
        <v>89</v>
      </c>
      <c r="B232" s="5" t="s">
        <v>105</v>
      </c>
      <c r="C232" s="5" t="s">
        <v>400</v>
      </c>
      <c r="D232" s="5" t="s">
        <v>396</v>
      </c>
      <c r="E232" s="5" t="s">
        <v>392</v>
      </c>
      <c r="F232" s="5" t="s">
        <v>1054</v>
      </c>
      <c r="G232" s="5" t="s">
        <v>1052</v>
      </c>
    </row>
    <row r="233" customFormat="false" ht="15" hidden="false" customHeight="false" outlineLevel="0" collapsed="false">
      <c r="A233" s="5" t="s">
        <v>89</v>
      </c>
      <c r="B233" s="5" t="s">
        <v>105</v>
      </c>
      <c r="C233" s="5" t="s">
        <v>401</v>
      </c>
      <c r="D233" s="5" t="s">
        <v>396</v>
      </c>
      <c r="E233" s="5" t="s">
        <v>394</v>
      </c>
      <c r="F233" s="5" t="s">
        <v>1054</v>
      </c>
      <c r="G233" s="5" t="s">
        <v>1052</v>
      </c>
    </row>
    <row r="234" customFormat="false" ht="15" hidden="false" customHeight="false" outlineLevel="0" collapsed="false">
      <c r="A234" s="5" t="s">
        <v>89</v>
      </c>
      <c r="B234" s="5" t="s">
        <v>105</v>
      </c>
      <c r="C234" s="5" t="s">
        <v>402</v>
      </c>
      <c r="D234" s="5" t="s">
        <v>403</v>
      </c>
      <c r="E234" s="5" t="s">
        <v>385</v>
      </c>
      <c r="F234" s="5" t="s">
        <v>1054</v>
      </c>
      <c r="G234" s="5" t="s">
        <v>1052</v>
      </c>
    </row>
    <row r="235" customFormat="false" ht="15" hidden="false" customHeight="false" outlineLevel="0" collapsed="false">
      <c r="A235" s="5" t="s">
        <v>89</v>
      </c>
      <c r="B235" s="5" t="s">
        <v>105</v>
      </c>
      <c r="C235" s="5" t="s">
        <v>404</v>
      </c>
      <c r="D235" s="5" t="s">
        <v>403</v>
      </c>
      <c r="E235" s="5" t="s">
        <v>387</v>
      </c>
      <c r="F235" s="5" t="s">
        <v>1054</v>
      </c>
      <c r="G235" s="5" t="s">
        <v>1052</v>
      </c>
    </row>
    <row r="236" customFormat="false" ht="15" hidden="false" customHeight="false" outlineLevel="0" collapsed="false">
      <c r="A236" s="5" t="s">
        <v>89</v>
      </c>
      <c r="B236" s="5" t="s">
        <v>105</v>
      </c>
      <c r="C236" s="5" t="s">
        <v>405</v>
      </c>
      <c r="D236" s="5" t="s">
        <v>403</v>
      </c>
      <c r="E236" s="5" t="s">
        <v>389</v>
      </c>
      <c r="F236" s="5" t="s">
        <v>1054</v>
      </c>
      <c r="G236" s="5" t="s">
        <v>1052</v>
      </c>
    </row>
    <row r="237" customFormat="false" ht="15" hidden="false" customHeight="false" outlineLevel="0" collapsed="false">
      <c r="A237" s="5" t="s">
        <v>89</v>
      </c>
      <c r="B237" s="5" t="s">
        <v>105</v>
      </c>
      <c r="C237" s="5" t="s">
        <v>406</v>
      </c>
      <c r="D237" s="5" t="s">
        <v>403</v>
      </c>
      <c r="E237" s="5" t="s">
        <v>108</v>
      </c>
      <c r="F237" s="5" t="s">
        <v>1054</v>
      </c>
      <c r="G237" s="5" t="s">
        <v>1052</v>
      </c>
    </row>
    <row r="238" customFormat="false" ht="15" hidden="false" customHeight="false" outlineLevel="0" collapsed="false">
      <c r="A238" s="5" t="s">
        <v>89</v>
      </c>
      <c r="B238" s="5" t="s">
        <v>105</v>
      </c>
      <c r="C238" s="5" t="s">
        <v>407</v>
      </c>
      <c r="D238" s="5" t="s">
        <v>403</v>
      </c>
      <c r="E238" s="5" t="s">
        <v>392</v>
      </c>
      <c r="F238" s="5" t="s">
        <v>1054</v>
      </c>
      <c r="G238" s="5" t="s">
        <v>1052</v>
      </c>
    </row>
    <row r="239" customFormat="false" ht="15" hidden="false" customHeight="false" outlineLevel="0" collapsed="false">
      <c r="A239" s="5" t="s">
        <v>89</v>
      </c>
      <c r="B239" s="5" t="s">
        <v>105</v>
      </c>
      <c r="C239" s="5" t="s">
        <v>408</v>
      </c>
      <c r="D239" s="5" t="s">
        <v>403</v>
      </c>
      <c r="E239" s="5" t="s">
        <v>394</v>
      </c>
      <c r="F239" s="5" t="s">
        <v>1054</v>
      </c>
      <c r="G239" s="5" t="s">
        <v>1052</v>
      </c>
    </row>
    <row r="240" customFormat="false" ht="15" hidden="false" customHeight="false" outlineLevel="0" collapsed="false">
      <c r="A240" s="5" t="s">
        <v>89</v>
      </c>
      <c r="B240" s="5" t="s">
        <v>105</v>
      </c>
      <c r="C240" s="5" t="s">
        <v>409</v>
      </c>
      <c r="D240" s="5" t="s">
        <v>107</v>
      </c>
      <c r="E240" s="5" t="s">
        <v>385</v>
      </c>
      <c r="F240" s="5" t="s">
        <v>1054</v>
      </c>
      <c r="G240" s="5" t="s">
        <v>1052</v>
      </c>
    </row>
    <row r="241" customFormat="false" ht="15" hidden="false" customHeight="false" outlineLevel="0" collapsed="false">
      <c r="A241" s="5" t="s">
        <v>89</v>
      </c>
      <c r="B241" s="5" t="s">
        <v>105</v>
      </c>
      <c r="C241" s="5" t="s">
        <v>410</v>
      </c>
      <c r="D241" s="5" t="s">
        <v>107</v>
      </c>
      <c r="E241" s="5" t="s">
        <v>387</v>
      </c>
      <c r="F241" s="5" t="s">
        <v>1054</v>
      </c>
      <c r="G241" s="5" t="s">
        <v>1052</v>
      </c>
    </row>
    <row r="242" customFormat="false" ht="15" hidden="false" customHeight="false" outlineLevel="0" collapsed="false">
      <c r="A242" s="5" t="s">
        <v>89</v>
      </c>
      <c r="B242" s="5" t="s">
        <v>105</v>
      </c>
      <c r="C242" s="5" t="s">
        <v>411</v>
      </c>
      <c r="D242" s="5" t="s">
        <v>107</v>
      </c>
      <c r="E242" s="5" t="s">
        <v>389</v>
      </c>
      <c r="F242" s="5" t="s">
        <v>1054</v>
      </c>
      <c r="G242" s="5" t="s">
        <v>1052</v>
      </c>
    </row>
    <row r="243" customFormat="false" ht="15" hidden="false" customHeight="false" outlineLevel="0" collapsed="false">
      <c r="A243" s="5" t="s">
        <v>89</v>
      </c>
      <c r="B243" s="5" t="s">
        <v>105</v>
      </c>
      <c r="C243" s="5" t="s">
        <v>106</v>
      </c>
      <c r="D243" s="5" t="s">
        <v>107</v>
      </c>
      <c r="E243" s="5" t="s">
        <v>108</v>
      </c>
      <c r="F243" s="5" t="s">
        <v>1054</v>
      </c>
      <c r="G243" s="5" t="s">
        <v>1052</v>
      </c>
    </row>
    <row r="244" customFormat="false" ht="15" hidden="false" customHeight="false" outlineLevel="0" collapsed="false">
      <c r="A244" s="5" t="s">
        <v>89</v>
      </c>
      <c r="B244" s="5" t="s">
        <v>105</v>
      </c>
      <c r="C244" s="5" t="s">
        <v>412</v>
      </c>
      <c r="D244" s="5" t="s">
        <v>107</v>
      </c>
      <c r="E244" s="5" t="s">
        <v>392</v>
      </c>
      <c r="F244" s="5" t="s">
        <v>1054</v>
      </c>
      <c r="G244" s="5" t="s">
        <v>1052</v>
      </c>
    </row>
    <row r="245" customFormat="false" ht="15" hidden="false" customHeight="false" outlineLevel="0" collapsed="false">
      <c r="A245" s="5" t="s">
        <v>89</v>
      </c>
      <c r="B245" s="5" t="s">
        <v>105</v>
      </c>
      <c r="C245" s="5" t="s">
        <v>413</v>
      </c>
      <c r="D245" s="5" t="s">
        <v>107</v>
      </c>
      <c r="E245" s="5" t="s">
        <v>394</v>
      </c>
      <c r="F245" s="5" t="s">
        <v>1054</v>
      </c>
      <c r="G245" s="5" t="s">
        <v>1052</v>
      </c>
    </row>
    <row r="246" customFormat="false" ht="15" hidden="false" customHeight="false" outlineLevel="0" collapsed="false">
      <c r="A246" s="5" t="s">
        <v>89</v>
      </c>
      <c r="B246" s="5" t="s">
        <v>105</v>
      </c>
      <c r="C246" s="5" t="s">
        <v>414</v>
      </c>
      <c r="D246" s="5" t="s">
        <v>415</v>
      </c>
      <c r="E246" s="5" t="s">
        <v>385</v>
      </c>
      <c r="F246" s="5" t="s">
        <v>1054</v>
      </c>
      <c r="G246" s="5" t="s">
        <v>1052</v>
      </c>
    </row>
    <row r="247" customFormat="false" ht="15" hidden="false" customHeight="false" outlineLevel="0" collapsed="false">
      <c r="A247" s="5" t="s">
        <v>89</v>
      </c>
      <c r="B247" s="5" t="s">
        <v>105</v>
      </c>
      <c r="C247" s="5" t="s">
        <v>416</v>
      </c>
      <c r="D247" s="5" t="s">
        <v>415</v>
      </c>
      <c r="E247" s="5" t="s">
        <v>387</v>
      </c>
      <c r="F247" s="5" t="s">
        <v>1054</v>
      </c>
      <c r="G247" s="5" t="s">
        <v>1052</v>
      </c>
    </row>
    <row r="248" customFormat="false" ht="15" hidden="false" customHeight="false" outlineLevel="0" collapsed="false">
      <c r="A248" s="5" t="s">
        <v>89</v>
      </c>
      <c r="B248" s="5" t="s">
        <v>105</v>
      </c>
      <c r="C248" s="5" t="s">
        <v>417</v>
      </c>
      <c r="D248" s="5" t="s">
        <v>415</v>
      </c>
      <c r="E248" s="5" t="s">
        <v>389</v>
      </c>
      <c r="F248" s="5" t="s">
        <v>1054</v>
      </c>
      <c r="G248" s="5" t="s">
        <v>1052</v>
      </c>
    </row>
    <row r="249" customFormat="false" ht="15" hidden="false" customHeight="false" outlineLevel="0" collapsed="false">
      <c r="A249" s="5" t="s">
        <v>89</v>
      </c>
      <c r="B249" s="5" t="s">
        <v>105</v>
      </c>
      <c r="C249" s="5" t="s">
        <v>418</v>
      </c>
      <c r="D249" s="5" t="s">
        <v>415</v>
      </c>
      <c r="E249" s="5" t="s">
        <v>108</v>
      </c>
      <c r="F249" s="5" t="s">
        <v>1054</v>
      </c>
      <c r="G249" s="5" t="s">
        <v>1052</v>
      </c>
    </row>
    <row r="250" customFormat="false" ht="15" hidden="false" customHeight="false" outlineLevel="0" collapsed="false">
      <c r="A250" s="5" t="s">
        <v>89</v>
      </c>
      <c r="B250" s="5" t="s">
        <v>105</v>
      </c>
      <c r="C250" s="5" t="s">
        <v>419</v>
      </c>
      <c r="D250" s="5" t="s">
        <v>415</v>
      </c>
      <c r="E250" s="5" t="s">
        <v>392</v>
      </c>
      <c r="F250" s="5" t="s">
        <v>1054</v>
      </c>
      <c r="G250" s="5" t="s">
        <v>1052</v>
      </c>
    </row>
    <row r="251" customFormat="false" ht="15" hidden="false" customHeight="false" outlineLevel="0" collapsed="false">
      <c r="A251" s="5" t="s">
        <v>89</v>
      </c>
      <c r="B251" s="5" t="s">
        <v>105</v>
      </c>
      <c r="C251" s="5" t="s">
        <v>420</v>
      </c>
      <c r="D251" s="5" t="s">
        <v>415</v>
      </c>
      <c r="E251" s="5" t="s">
        <v>394</v>
      </c>
      <c r="F251" s="5" t="s">
        <v>1054</v>
      </c>
      <c r="G251" s="5" t="s">
        <v>1052</v>
      </c>
    </row>
    <row r="252" customFormat="false" ht="15" hidden="false" customHeight="false" outlineLevel="0" collapsed="false">
      <c r="A252" s="5" t="s">
        <v>89</v>
      </c>
      <c r="B252" s="5" t="s">
        <v>135</v>
      </c>
      <c r="C252" s="5" t="s">
        <v>421</v>
      </c>
      <c r="D252" s="5" t="s">
        <v>384</v>
      </c>
      <c r="E252" s="5" t="s">
        <v>422</v>
      </c>
      <c r="F252" s="5" t="s">
        <v>1051</v>
      </c>
      <c r="G252" s="5" t="s">
        <v>1052</v>
      </c>
    </row>
    <row r="253" customFormat="false" ht="15" hidden="false" customHeight="false" outlineLevel="0" collapsed="false">
      <c r="A253" s="5" t="s">
        <v>89</v>
      </c>
      <c r="B253" s="5" t="s">
        <v>135</v>
      </c>
      <c r="C253" s="5" t="s">
        <v>423</v>
      </c>
      <c r="D253" s="5" t="s">
        <v>384</v>
      </c>
      <c r="E253" s="5" t="s">
        <v>424</v>
      </c>
      <c r="F253" s="5" t="s">
        <v>1051</v>
      </c>
      <c r="G253" s="5" t="s">
        <v>1052</v>
      </c>
    </row>
    <row r="254" customFormat="false" ht="15" hidden="false" customHeight="false" outlineLevel="0" collapsed="false">
      <c r="A254" s="5" t="s">
        <v>89</v>
      </c>
      <c r="B254" s="5" t="s">
        <v>135</v>
      </c>
      <c r="C254" s="5" t="s">
        <v>425</v>
      </c>
      <c r="D254" s="5" t="s">
        <v>384</v>
      </c>
      <c r="E254" s="5" t="s">
        <v>426</v>
      </c>
      <c r="F254" s="5" t="s">
        <v>1051</v>
      </c>
      <c r="G254" s="5" t="s">
        <v>1052</v>
      </c>
    </row>
    <row r="255" customFormat="false" ht="15" hidden="false" customHeight="false" outlineLevel="0" collapsed="false">
      <c r="A255" s="5" t="s">
        <v>89</v>
      </c>
      <c r="B255" s="5" t="s">
        <v>135</v>
      </c>
      <c r="C255" s="5" t="s">
        <v>427</v>
      </c>
      <c r="D255" s="5" t="s">
        <v>384</v>
      </c>
      <c r="E255" s="5" t="s">
        <v>138</v>
      </c>
      <c r="F255" s="5" t="s">
        <v>1051</v>
      </c>
      <c r="G255" s="5" t="s">
        <v>1052</v>
      </c>
    </row>
    <row r="256" customFormat="false" ht="15" hidden="false" customHeight="false" outlineLevel="0" collapsed="false">
      <c r="A256" s="5" t="s">
        <v>89</v>
      </c>
      <c r="B256" s="5" t="s">
        <v>135</v>
      </c>
      <c r="C256" s="5" t="s">
        <v>428</v>
      </c>
      <c r="D256" s="5" t="s">
        <v>384</v>
      </c>
      <c r="E256" s="5" t="s">
        <v>429</v>
      </c>
      <c r="F256" s="5" t="s">
        <v>1051</v>
      </c>
      <c r="G256" s="5" t="s">
        <v>1052</v>
      </c>
    </row>
    <row r="257" customFormat="false" ht="15" hidden="false" customHeight="false" outlineLevel="0" collapsed="false">
      <c r="A257" s="5" t="s">
        <v>89</v>
      </c>
      <c r="B257" s="5" t="s">
        <v>135</v>
      </c>
      <c r="C257" s="5" t="s">
        <v>430</v>
      </c>
      <c r="D257" s="5" t="s">
        <v>384</v>
      </c>
      <c r="E257" s="5" t="s">
        <v>431</v>
      </c>
      <c r="F257" s="5" t="s">
        <v>1051</v>
      </c>
      <c r="G257" s="5" t="s">
        <v>1052</v>
      </c>
    </row>
    <row r="258" customFormat="false" ht="15" hidden="false" customHeight="false" outlineLevel="0" collapsed="false">
      <c r="A258" s="5" t="s">
        <v>89</v>
      </c>
      <c r="B258" s="5" t="s">
        <v>135</v>
      </c>
      <c r="C258" s="5" t="s">
        <v>432</v>
      </c>
      <c r="D258" s="5" t="s">
        <v>396</v>
      </c>
      <c r="E258" s="5" t="s">
        <v>422</v>
      </c>
      <c r="F258" s="5" t="s">
        <v>1051</v>
      </c>
      <c r="G258" s="5" t="s">
        <v>1052</v>
      </c>
    </row>
    <row r="259" customFormat="false" ht="15" hidden="false" customHeight="false" outlineLevel="0" collapsed="false">
      <c r="A259" s="5" t="s">
        <v>89</v>
      </c>
      <c r="B259" s="5" t="s">
        <v>135</v>
      </c>
      <c r="C259" s="5" t="s">
        <v>433</v>
      </c>
      <c r="D259" s="5" t="s">
        <v>396</v>
      </c>
      <c r="E259" s="5" t="s">
        <v>424</v>
      </c>
      <c r="F259" s="5" t="s">
        <v>1051</v>
      </c>
      <c r="G259" s="5" t="s">
        <v>1052</v>
      </c>
    </row>
    <row r="260" customFormat="false" ht="15" hidden="false" customHeight="false" outlineLevel="0" collapsed="false">
      <c r="A260" s="5" t="s">
        <v>89</v>
      </c>
      <c r="B260" s="5" t="s">
        <v>135</v>
      </c>
      <c r="C260" s="5" t="s">
        <v>434</v>
      </c>
      <c r="D260" s="5" t="s">
        <v>396</v>
      </c>
      <c r="E260" s="5" t="s">
        <v>426</v>
      </c>
      <c r="F260" s="5" t="s">
        <v>1051</v>
      </c>
      <c r="G260" s="5" t="s">
        <v>1052</v>
      </c>
    </row>
    <row r="261" customFormat="false" ht="15" hidden="false" customHeight="false" outlineLevel="0" collapsed="false">
      <c r="A261" s="5" t="s">
        <v>89</v>
      </c>
      <c r="B261" s="5" t="s">
        <v>135</v>
      </c>
      <c r="C261" s="5" t="s">
        <v>435</v>
      </c>
      <c r="D261" s="5" t="s">
        <v>396</v>
      </c>
      <c r="E261" s="5" t="s">
        <v>138</v>
      </c>
      <c r="F261" s="5" t="s">
        <v>1051</v>
      </c>
      <c r="G261" s="5" t="s">
        <v>1052</v>
      </c>
    </row>
    <row r="262" customFormat="false" ht="15" hidden="false" customHeight="false" outlineLevel="0" collapsed="false">
      <c r="A262" s="5" t="s">
        <v>89</v>
      </c>
      <c r="B262" s="5" t="s">
        <v>135</v>
      </c>
      <c r="C262" s="5" t="s">
        <v>436</v>
      </c>
      <c r="D262" s="5" t="s">
        <v>396</v>
      </c>
      <c r="E262" s="5" t="s">
        <v>429</v>
      </c>
      <c r="F262" s="5" t="s">
        <v>1051</v>
      </c>
      <c r="G262" s="5" t="s">
        <v>1052</v>
      </c>
    </row>
    <row r="263" customFormat="false" ht="15" hidden="false" customHeight="false" outlineLevel="0" collapsed="false">
      <c r="A263" s="5" t="s">
        <v>89</v>
      </c>
      <c r="B263" s="5" t="s">
        <v>135</v>
      </c>
      <c r="C263" s="5" t="s">
        <v>437</v>
      </c>
      <c r="D263" s="5" t="s">
        <v>396</v>
      </c>
      <c r="E263" s="5" t="s">
        <v>431</v>
      </c>
      <c r="F263" s="5" t="s">
        <v>1051</v>
      </c>
      <c r="G263" s="5" t="s">
        <v>1052</v>
      </c>
    </row>
    <row r="264" customFormat="false" ht="15" hidden="false" customHeight="false" outlineLevel="0" collapsed="false">
      <c r="A264" s="5" t="s">
        <v>89</v>
      </c>
      <c r="B264" s="5" t="s">
        <v>135</v>
      </c>
      <c r="C264" s="5" t="s">
        <v>438</v>
      </c>
      <c r="D264" s="5" t="s">
        <v>403</v>
      </c>
      <c r="E264" s="5" t="s">
        <v>422</v>
      </c>
      <c r="F264" s="5" t="s">
        <v>1051</v>
      </c>
      <c r="G264" s="5" t="s">
        <v>1052</v>
      </c>
    </row>
    <row r="265" customFormat="false" ht="15" hidden="false" customHeight="false" outlineLevel="0" collapsed="false">
      <c r="A265" s="5" t="s">
        <v>89</v>
      </c>
      <c r="B265" s="5" t="s">
        <v>135</v>
      </c>
      <c r="C265" s="5" t="s">
        <v>439</v>
      </c>
      <c r="D265" s="5" t="s">
        <v>403</v>
      </c>
      <c r="E265" s="5" t="s">
        <v>424</v>
      </c>
      <c r="F265" s="5" t="s">
        <v>1051</v>
      </c>
      <c r="G265" s="5" t="s">
        <v>1052</v>
      </c>
    </row>
    <row r="266" customFormat="false" ht="15" hidden="false" customHeight="false" outlineLevel="0" collapsed="false">
      <c r="A266" s="5" t="s">
        <v>89</v>
      </c>
      <c r="B266" s="5" t="s">
        <v>135</v>
      </c>
      <c r="C266" s="5" t="s">
        <v>440</v>
      </c>
      <c r="D266" s="5" t="s">
        <v>403</v>
      </c>
      <c r="E266" s="5" t="s">
        <v>426</v>
      </c>
      <c r="F266" s="5" t="s">
        <v>1051</v>
      </c>
      <c r="G266" s="5" t="s">
        <v>1052</v>
      </c>
    </row>
    <row r="267" customFormat="false" ht="15" hidden="false" customHeight="false" outlineLevel="0" collapsed="false">
      <c r="A267" s="5" t="s">
        <v>89</v>
      </c>
      <c r="B267" s="5" t="s">
        <v>135</v>
      </c>
      <c r="C267" s="5" t="s">
        <v>441</v>
      </c>
      <c r="D267" s="5" t="s">
        <v>403</v>
      </c>
      <c r="E267" s="5" t="s">
        <v>138</v>
      </c>
      <c r="F267" s="5" t="s">
        <v>1051</v>
      </c>
      <c r="G267" s="5" t="s">
        <v>1052</v>
      </c>
    </row>
    <row r="268" customFormat="false" ht="15" hidden="false" customHeight="false" outlineLevel="0" collapsed="false">
      <c r="A268" s="5" t="s">
        <v>89</v>
      </c>
      <c r="B268" s="5" t="s">
        <v>135</v>
      </c>
      <c r="C268" s="5" t="s">
        <v>442</v>
      </c>
      <c r="D268" s="5" t="s">
        <v>403</v>
      </c>
      <c r="E268" s="5" t="s">
        <v>429</v>
      </c>
      <c r="F268" s="5" t="s">
        <v>1051</v>
      </c>
      <c r="G268" s="5" t="s">
        <v>1052</v>
      </c>
    </row>
    <row r="269" customFormat="false" ht="15" hidden="false" customHeight="false" outlineLevel="0" collapsed="false">
      <c r="A269" s="5" t="s">
        <v>89</v>
      </c>
      <c r="B269" s="5" t="s">
        <v>135</v>
      </c>
      <c r="C269" s="5" t="s">
        <v>443</v>
      </c>
      <c r="D269" s="5" t="s">
        <v>403</v>
      </c>
      <c r="E269" s="5" t="s">
        <v>431</v>
      </c>
      <c r="F269" s="5" t="s">
        <v>1051</v>
      </c>
      <c r="G269" s="5" t="s">
        <v>1052</v>
      </c>
    </row>
    <row r="270" customFormat="false" ht="15" hidden="false" customHeight="false" outlineLevel="0" collapsed="false">
      <c r="A270" s="5" t="s">
        <v>89</v>
      </c>
      <c r="B270" s="5" t="s">
        <v>135</v>
      </c>
      <c r="C270" s="5" t="s">
        <v>444</v>
      </c>
      <c r="D270" s="5" t="s">
        <v>445</v>
      </c>
      <c r="E270" s="5" t="s">
        <v>422</v>
      </c>
      <c r="F270" s="5" t="s">
        <v>1051</v>
      </c>
      <c r="G270" s="5" t="s">
        <v>1052</v>
      </c>
    </row>
    <row r="271" customFormat="false" ht="15" hidden="false" customHeight="false" outlineLevel="0" collapsed="false">
      <c r="A271" s="5" t="s">
        <v>89</v>
      </c>
      <c r="B271" s="5" t="s">
        <v>135</v>
      </c>
      <c r="C271" s="5" t="s">
        <v>446</v>
      </c>
      <c r="D271" s="5" t="s">
        <v>445</v>
      </c>
      <c r="E271" s="5" t="s">
        <v>424</v>
      </c>
      <c r="F271" s="5" t="s">
        <v>1051</v>
      </c>
      <c r="G271" s="5" t="s">
        <v>1052</v>
      </c>
    </row>
    <row r="272" customFormat="false" ht="15" hidden="false" customHeight="false" outlineLevel="0" collapsed="false">
      <c r="A272" s="5" t="s">
        <v>89</v>
      </c>
      <c r="B272" s="5" t="s">
        <v>135</v>
      </c>
      <c r="C272" s="5" t="s">
        <v>447</v>
      </c>
      <c r="D272" s="5" t="s">
        <v>445</v>
      </c>
      <c r="E272" s="5" t="s">
        <v>426</v>
      </c>
      <c r="F272" s="5" t="s">
        <v>1051</v>
      </c>
      <c r="G272" s="5" t="s">
        <v>1052</v>
      </c>
    </row>
    <row r="273" customFormat="false" ht="15" hidden="false" customHeight="false" outlineLevel="0" collapsed="false">
      <c r="A273" s="5" t="s">
        <v>89</v>
      </c>
      <c r="B273" s="5" t="s">
        <v>135</v>
      </c>
      <c r="C273" s="5" t="s">
        <v>448</v>
      </c>
      <c r="D273" s="5" t="s">
        <v>445</v>
      </c>
      <c r="E273" s="5" t="s">
        <v>138</v>
      </c>
      <c r="F273" s="5" t="s">
        <v>1051</v>
      </c>
      <c r="G273" s="5" t="s">
        <v>1052</v>
      </c>
    </row>
    <row r="274" customFormat="false" ht="15" hidden="false" customHeight="false" outlineLevel="0" collapsed="false">
      <c r="A274" s="5" t="s">
        <v>89</v>
      </c>
      <c r="B274" s="5" t="s">
        <v>135</v>
      </c>
      <c r="C274" s="5" t="s">
        <v>449</v>
      </c>
      <c r="D274" s="5" t="s">
        <v>445</v>
      </c>
      <c r="E274" s="5" t="s">
        <v>429</v>
      </c>
      <c r="F274" s="5" t="s">
        <v>1051</v>
      </c>
      <c r="G274" s="5" t="s">
        <v>1052</v>
      </c>
    </row>
    <row r="275" customFormat="false" ht="15" hidden="false" customHeight="false" outlineLevel="0" collapsed="false">
      <c r="A275" s="5" t="s">
        <v>89</v>
      </c>
      <c r="B275" s="5" t="s">
        <v>135</v>
      </c>
      <c r="C275" s="5" t="s">
        <v>450</v>
      </c>
      <c r="D275" s="5" t="s">
        <v>445</v>
      </c>
      <c r="E275" s="5" t="s">
        <v>431</v>
      </c>
      <c r="F275" s="5" t="s">
        <v>1051</v>
      </c>
      <c r="G275" s="5" t="s">
        <v>1052</v>
      </c>
    </row>
    <row r="276" customFormat="false" ht="15" hidden="false" customHeight="false" outlineLevel="0" collapsed="false">
      <c r="A276" s="5" t="s">
        <v>89</v>
      </c>
      <c r="B276" s="5" t="s">
        <v>135</v>
      </c>
      <c r="C276" s="5" t="s">
        <v>451</v>
      </c>
      <c r="D276" s="5" t="s">
        <v>415</v>
      </c>
      <c r="E276" s="5" t="s">
        <v>422</v>
      </c>
      <c r="F276" s="5" t="s">
        <v>1051</v>
      </c>
      <c r="G276" s="5" t="s">
        <v>1052</v>
      </c>
    </row>
    <row r="277" customFormat="false" ht="15" hidden="false" customHeight="false" outlineLevel="0" collapsed="false">
      <c r="A277" s="5" t="s">
        <v>89</v>
      </c>
      <c r="B277" s="5" t="s">
        <v>135</v>
      </c>
      <c r="C277" s="5" t="s">
        <v>452</v>
      </c>
      <c r="D277" s="5" t="s">
        <v>415</v>
      </c>
      <c r="E277" s="5" t="s">
        <v>424</v>
      </c>
      <c r="F277" s="5" t="s">
        <v>1051</v>
      </c>
      <c r="G277" s="5" t="s">
        <v>1052</v>
      </c>
    </row>
    <row r="278" customFormat="false" ht="15" hidden="false" customHeight="false" outlineLevel="0" collapsed="false">
      <c r="A278" s="5" t="s">
        <v>89</v>
      </c>
      <c r="B278" s="5" t="s">
        <v>135</v>
      </c>
      <c r="C278" s="5" t="s">
        <v>453</v>
      </c>
      <c r="D278" s="5" t="s">
        <v>415</v>
      </c>
      <c r="E278" s="5" t="s">
        <v>426</v>
      </c>
      <c r="F278" s="5" t="s">
        <v>1051</v>
      </c>
      <c r="G278" s="5" t="s">
        <v>1052</v>
      </c>
    </row>
    <row r="279" customFormat="false" ht="15" hidden="false" customHeight="false" outlineLevel="0" collapsed="false">
      <c r="A279" s="5" t="s">
        <v>89</v>
      </c>
      <c r="B279" s="5" t="s">
        <v>135</v>
      </c>
      <c r="C279" s="5" t="s">
        <v>454</v>
      </c>
      <c r="D279" s="5" t="s">
        <v>415</v>
      </c>
      <c r="E279" s="5" t="s">
        <v>138</v>
      </c>
      <c r="F279" s="5" t="s">
        <v>1051</v>
      </c>
      <c r="G279" s="5" t="s">
        <v>1052</v>
      </c>
    </row>
    <row r="280" customFormat="false" ht="15" hidden="false" customHeight="false" outlineLevel="0" collapsed="false">
      <c r="A280" s="5" t="s">
        <v>89</v>
      </c>
      <c r="B280" s="5" t="s">
        <v>135</v>
      </c>
      <c r="C280" s="5" t="s">
        <v>455</v>
      </c>
      <c r="D280" s="5" t="s">
        <v>415</v>
      </c>
      <c r="E280" s="5" t="s">
        <v>429</v>
      </c>
      <c r="F280" s="5" t="s">
        <v>1051</v>
      </c>
      <c r="G280" s="5" t="s">
        <v>1052</v>
      </c>
    </row>
    <row r="281" customFormat="false" ht="15" hidden="false" customHeight="false" outlineLevel="0" collapsed="false">
      <c r="A281" s="5" t="s">
        <v>89</v>
      </c>
      <c r="B281" s="5" t="s">
        <v>135</v>
      </c>
      <c r="C281" s="5" t="s">
        <v>456</v>
      </c>
      <c r="D281" s="5" t="s">
        <v>415</v>
      </c>
      <c r="E281" s="5" t="s">
        <v>431</v>
      </c>
      <c r="F281" s="5" t="s">
        <v>1051</v>
      </c>
      <c r="G281" s="5" t="s">
        <v>1052</v>
      </c>
    </row>
    <row r="282" customFormat="false" ht="15" hidden="false" customHeight="false" outlineLevel="0" collapsed="false">
      <c r="A282" s="5" t="s">
        <v>89</v>
      </c>
      <c r="B282" s="5" t="s">
        <v>135</v>
      </c>
      <c r="C282" s="5" t="s">
        <v>457</v>
      </c>
      <c r="D282" s="5" t="s">
        <v>458</v>
      </c>
      <c r="E282" s="5" t="s">
        <v>422</v>
      </c>
      <c r="F282" s="5" t="s">
        <v>1051</v>
      </c>
      <c r="G282" s="5" t="s">
        <v>1052</v>
      </c>
    </row>
    <row r="283" customFormat="false" ht="15" hidden="false" customHeight="false" outlineLevel="0" collapsed="false">
      <c r="A283" s="5" t="s">
        <v>89</v>
      </c>
      <c r="B283" s="5" t="s">
        <v>135</v>
      </c>
      <c r="C283" s="5" t="s">
        <v>459</v>
      </c>
      <c r="D283" s="5" t="s">
        <v>458</v>
      </c>
      <c r="E283" s="5" t="s">
        <v>424</v>
      </c>
      <c r="F283" s="5" t="s">
        <v>1051</v>
      </c>
      <c r="G283" s="5" t="s">
        <v>1052</v>
      </c>
    </row>
    <row r="284" customFormat="false" ht="15" hidden="false" customHeight="false" outlineLevel="0" collapsed="false">
      <c r="A284" s="5" t="s">
        <v>89</v>
      </c>
      <c r="B284" s="5" t="s">
        <v>135</v>
      </c>
      <c r="C284" s="5" t="s">
        <v>460</v>
      </c>
      <c r="D284" s="5" t="s">
        <v>458</v>
      </c>
      <c r="E284" s="5" t="s">
        <v>426</v>
      </c>
      <c r="F284" s="5" t="s">
        <v>1051</v>
      </c>
      <c r="G284" s="5" t="s">
        <v>1052</v>
      </c>
    </row>
    <row r="285" customFormat="false" ht="15" hidden="false" customHeight="false" outlineLevel="0" collapsed="false">
      <c r="A285" s="5" t="s">
        <v>89</v>
      </c>
      <c r="B285" s="5" t="s">
        <v>135</v>
      </c>
      <c r="C285" s="5" t="s">
        <v>461</v>
      </c>
      <c r="D285" s="5" t="s">
        <v>458</v>
      </c>
      <c r="E285" s="5" t="s">
        <v>138</v>
      </c>
      <c r="F285" s="5" t="s">
        <v>1051</v>
      </c>
      <c r="G285" s="5" t="s">
        <v>1052</v>
      </c>
    </row>
    <row r="286" customFormat="false" ht="15" hidden="false" customHeight="false" outlineLevel="0" collapsed="false">
      <c r="A286" s="5" t="s">
        <v>89</v>
      </c>
      <c r="B286" s="5" t="s">
        <v>135</v>
      </c>
      <c r="C286" s="5" t="s">
        <v>462</v>
      </c>
      <c r="D286" s="5" t="s">
        <v>458</v>
      </c>
      <c r="E286" s="5" t="s">
        <v>429</v>
      </c>
      <c r="F286" s="5" t="s">
        <v>1051</v>
      </c>
      <c r="G286" s="5" t="s">
        <v>1052</v>
      </c>
    </row>
    <row r="287" customFormat="false" ht="15" hidden="false" customHeight="false" outlineLevel="0" collapsed="false">
      <c r="A287" s="5" t="s">
        <v>89</v>
      </c>
      <c r="B287" s="5" t="s">
        <v>135</v>
      </c>
      <c r="C287" s="5" t="s">
        <v>463</v>
      </c>
      <c r="D287" s="5" t="s">
        <v>458</v>
      </c>
      <c r="E287" s="5" t="s">
        <v>431</v>
      </c>
      <c r="F287" s="5" t="s">
        <v>1051</v>
      </c>
      <c r="G287" s="5" t="s">
        <v>1052</v>
      </c>
    </row>
    <row r="288" customFormat="false" ht="15" hidden="false" customHeight="false" outlineLevel="0" collapsed="false">
      <c r="A288" s="5" t="s">
        <v>89</v>
      </c>
      <c r="B288" s="5" t="s">
        <v>135</v>
      </c>
      <c r="C288" s="5" t="s">
        <v>464</v>
      </c>
      <c r="D288" s="5" t="s">
        <v>137</v>
      </c>
      <c r="E288" s="5" t="s">
        <v>422</v>
      </c>
      <c r="F288" s="5" t="s">
        <v>1051</v>
      </c>
      <c r="G288" s="5" t="s">
        <v>1052</v>
      </c>
    </row>
    <row r="289" customFormat="false" ht="15" hidden="false" customHeight="false" outlineLevel="0" collapsed="false">
      <c r="A289" s="5" t="s">
        <v>89</v>
      </c>
      <c r="B289" s="5" t="s">
        <v>135</v>
      </c>
      <c r="C289" s="5" t="s">
        <v>465</v>
      </c>
      <c r="D289" s="5" t="s">
        <v>137</v>
      </c>
      <c r="E289" s="5" t="s">
        <v>424</v>
      </c>
      <c r="F289" s="5" t="s">
        <v>1051</v>
      </c>
      <c r="G289" s="5" t="s">
        <v>1052</v>
      </c>
    </row>
    <row r="290" customFormat="false" ht="15" hidden="false" customHeight="false" outlineLevel="0" collapsed="false">
      <c r="A290" s="5" t="s">
        <v>89</v>
      </c>
      <c r="B290" s="5" t="s">
        <v>135</v>
      </c>
      <c r="C290" s="5" t="s">
        <v>466</v>
      </c>
      <c r="D290" s="5" t="s">
        <v>137</v>
      </c>
      <c r="E290" s="5" t="s">
        <v>426</v>
      </c>
      <c r="F290" s="5" t="s">
        <v>1051</v>
      </c>
      <c r="G290" s="5" t="s">
        <v>1052</v>
      </c>
    </row>
    <row r="291" customFormat="false" ht="15" hidden="false" customHeight="false" outlineLevel="0" collapsed="false">
      <c r="A291" s="5" t="s">
        <v>89</v>
      </c>
      <c r="B291" s="5" t="s">
        <v>135</v>
      </c>
      <c r="C291" s="5" t="s">
        <v>136</v>
      </c>
      <c r="D291" s="5" t="s">
        <v>137</v>
      </c>
      <c r="E291" s="5" t="s">
        <v>138</v>
      </c>
      <c r="F291" s="5" t="s">
        <v>1051</v>
      </c>
      <c r="G291" s="5" t="s">
        <v>1052</v>
      </c>
    </row>
    <row r="292" customFormat="false" ht="15" hidden="false" customHeight="false" outlineLevel="0" collapsed="false">
      <c r="A292" s="5" t="s">
        <v>89</v>
      </c>
      <c r="B292" s="5" t="s">
        <v>135</v>
      </c>
      <c r="C292" s="5" t="s">
        <v>467</v>
      </c>
      <c r="D292" s="5" t="s">
        <v>137</v>
      </c>
      <c r="E292" s="5" t="s">
        <v>429</v>
      </c>
      <c r="F292" s="5" t="s">
        <v>1051</v>
      </c>
      <c r="G292" s="5" t="s">
        <v>1052</v>
      </c>
    </row>
    <row r="293" customFormat="false" ht="15" hidden="false" customHeight="false" outlineLevel="0" collapsed="false">
      <c r="A293" s="5" t="s">
        <v>89</v>
      </c>
      <c r="B293" s="5" t="s">
        <v>135</v>
      </c>
      <c r="C293" s="5" t="s">
        <v>468</v>
      </c>
      <c r="D293" s="5" t="s">
        <v>137</v>
      </c>
      <c r="E293" s="5" t="s">
        <v>431</v>
      </c>
      <c r="F293" s="5" t="s">
        <v>1051</v>
      </c>
      <c r="G293" s="5" t="s">
        <v>1052</v>
      </c>
    </row>
    <row r="294" customFormat="false" ht="15" hidden="false" customHeight="false" outlineLevel="0" collapsed="false">
      <c r="A294" s="5" t="s">
        <v>89</v>
      </c>
      <c r="B294" s="5" t="s">
        <v>469</v>
      </c>
      <c r="C294" s="5" t="s">
        <v>470</v>
      </c>
      <c r="D294" s="5" t="s">
        <v>471</v>
      </c>
      <c r="E294" s="5" t="s">
        <v>93</v>
      </c>
      <c r="F294" s="5" t="s">
        <v>1054</v>
      </c>
      <c r="G294" s="5" t="s">
        <v>1052</v>
      </c>
    </row>
    <row r="295" customFormat="false" ht="15" hidden="false" customHeight="false" outlineLevel="0" collapsed="false">
      <c r="A295" s="5" t="s">
        <v>89</v>
      </c>
      <c r="B295" s="5" t="s">
        <v>469</v>
      </c>
      <c r="C295" s="5" t="s">
        <v>472</v>
      </c>
      <c r="D295" s="5" t="s">
        <v>471</v>
      </c>
      <c r="E295" s="5" t="s">
        <v>98</v>
      </c>
      <c r="F295" s="5" t="s">
        <v>1054</v>
      </c>
      <c r="G295" s="5" t="s">
        <v>1052</v>
      </c>
    </row>
    <row r="296" customFormat="false" ht="15" hidden="false" customHeight="false" outlineLevel="0" collapsed="false">
      <c r="A296" s="5" t="s">
        <v>89</v>
      </c>
      <c r="B296" s="5" t="s">
        <v>469</v>
      </c>
      <c r="C296" s="5" t="s">
        <v>473</v>
      </c>
      <c r="D296" s="5" t="s">
        <v>471</v>
      </c>
      <c r="E296" s="5" t="s">
        <v>474</v>
      </c>
      <c r="F296" s="5" t="s">
        <v>1054</v>
      </c>
      <c r="G296" s="5" t="s">
        <v>1052</v>
      </c>
    </row>
    <row r="297" customFormat="false" ht="15" hidden="false" customHeight="false" outlineLevel="0" collapsed="false">
      <c r="A297" s="5" t="s">
        <v>89</v>
      </c>
      <c r="B297" s="5" t="s">
        <v>469</v>
      </c>
      <c r="C297" s="5" t="s">
        <v>475</v>
      </c>
      <c r="D297" s="5" t="s">
        <v>471</v>
      </c>
      <c r="E297" s="5" t="s">
        <v>145</v>
      </c>
      <c r="F297" s="5" t="s">
        <v>1054</v>
      </c>
      <c r="G297" s="5" t="s">
        <v>1052</v>
      </c>
    </row>
    <row r="298" customFormat="false" ht="15" hidden="false" customHeight="false" outlineLevel="0" collapsed="false">
      <c r="A298" s="5" t="s">
        <v>89</v>
      </c>
      <c r="B298" s="5" t="s">
        <v>469</v>
      </c>
      <c r="C298" s="5" t="s">
        <v>476</v>
      </c>
      <c r="D298" s="5" t="s">
        <v>471</v>
      </c>
      <c r="E298" s="5" t="s">
        <v>477</v>
      </c>
      <c r="F298" s="5" t="s">
        <v>1054</v>
      </c>
      <c r="G298" s="5" t="s">
        <v>1052</v>
      </c>
    </row>
    <row r="299" customFormat="false" ht="15" hidden="false" customHeight="false" outlineLevel="0" collapsed="false">
      <c r="A299" s="5" t="s">
        <v>89</v>
      </c>
      <c r="B299" s="5" t="s">
        <v>469</v>
      </c>
      <c r="C299" s="5" t="s">
        <v>478</v>
      </c>
      <c r="D299" s="5" t="s">
        <v>471</v>
      </c>
      <c r="E299" s="5" t="s">
        <v>479</v>
      </c>
      <c r="F299" s="5" t="s">
        <v>1054</v>
      </c>
      <c r="G299" s="5" t="s">
        <v>1052</v>
      </c>
    </row>
    <row r="300" customFormat="false" ht="15" hidden="false" customHeight="false" outlineLevel="0" collapsed="false">
      <c r="A300" s="5" t="s">
        <v>89</v>
      </c>
      <c r="B300" s="5" t="s">
        <v>469</v>
      </c>
      <c r="C300" s="5" t="s">
        <v>480</v>
      </c>
      <c r="D300" s="5" t="s">
        <v>471</v>
      </c>
      <c r="E300" s="5" t="s">
        <v>481</v>
      </c>
      <c r="F300" s="5" t="s">
        <v>1054</v>
      </c>
      <c r="G300" s="5" t="s">
        <v>1052</v>
      </c>
    </row>
    <row r="301" customFormat="false" ht="15" hidden="false" customHeight="false" outlineLevel="0" collapsed="false">
      <c r="A301" s="5" t="s">
        <v>89</v>
      </c>
      <c r="B301" s="5" t="s">
        <v>469</v>
      </c>
      <c r="C301" s="5" t="s">
        <v>482</v>
      </c>
      <c r="D301" s="5" t="s">
        <v>471</v>
      </c>
      <c r="E301" s="5" t="s">
        <v>95</v>
      </c>
      <c r="F301" s="5" t="s">
        <v>1053</v>
      </c>
      <c r="G301" s="5" t="s">
        <v>1052</v>
      </c>
    </row>
    <row r="302" customFormat="false" ht="15" hidden="false" customHeight="false" outlineLevel="0" collapsed="false">
      <c r="A302" s="5" t="s">
        <v>89</v>
      </c>
      <c r="B302" s="5" t="s">
        <v>469</v>
      </c>
      <c r="C302" s="5" t="s">
        <v>483</v>
      </c>
      <c r="D302" s="5" t="s">
        <v>445</v>
      </c>
      <c r="E302" s="5" t="s">
        <v>93</v>
      </c>
      <c r="F302" s="5" t="s">
        <v>1054</v>
      </c>
      <c r="G302" s="5" t="s">
        <v>1052</v>
      </c>
    </row>
    <row r="303" customFormat="false" ht="15" hidden="false" customHeight="false" outlineLevel="0" collapsed="false">
      <c r="A303" s="5" t="s">
        <v>89</v>
      </c>
      <c r="B303" s="5" t="s">
        <v>469</v>
      </c>
      <c r="C303" s="5" t="s">
        <v>484</v>
      </c>
      <c r="D303" s="5" t="s">
        <v>445</v>
      </c>
      <c r="E303" s="5" t="s">
        <v>98</v>
      </c>
      <c r="F303" s="5" t="s">
        <v>1054</v>
      </c>
      <c r="G303" s="5" t="s">
        <v>1052</v>
      </c>
    </row>
    <row r="304" customFormat="false" ht="15" hidden="false" customHeight="false" outlineLevel="0" collapsed="false">
      <c r="A304" s="5" t="s">
        <v>89</v>
      </c>
      <c r="B304" s="5" t="s">
        <v>469</v>
      </c>
      <c r="C304" s="5" t="s">
        <v>485</v>
      </c>
      <c r="D304" s="5" t="s">
        <v>445</v>
      </c>
      <c r="E304" s="5" t="s">
        <v>474</v>
      </c>
      <c r="F304" s="5" t="s">
        <v>1054</v>
      </c>
      <c r="G304" s="5" t="s">
        <v>1052</v>
      </c>
    </row>
    <row r="305" customFormat="false" ht="15" hidden="false" customHeight="false" outlineLevel="0" collapsed="false">
      <c r="A305" s="5" t="s">
        <v>89</v>
      </c>
      <c r="B305" s="5" t="s">
        <v>469</v>
      </c>
      <c r="C305" s="5" t="s">
        <v>486</v>
      </c>
      <c r="D305" s="5" t="s">
        <v>445</v>
      </c>
      <c r="E305" s="5" t="s">
        <v>145</v>
      </c>
      <c r="F305" s="5" t="s">
        <v>1054</v>
      </c>
      <c r="G305" s="5" t="s">
        <v>1052</v>
      </c>
    </row>
    <row r="306" customFormat="false" ht="15" hidden="false" customHeight="false" outlineLevel="0" collapsed="false">
      <c r="A306" s="5" t="s">
        <v>89</v>
      </c>
      <c r="B306" s="5" t="s">
        <v>469</v>
      </c>
      <c r="C306" s="5" t="s">
        <v>487</v>
      </c>
      <c r="D306" s="5" t="s">
        <v>445</v>
      </c>
      <c r="E306" s="5" t="s">
        <v>477</v>
      </c>
      <c r="F306" s="5" t="s">
        <v>1054</v>
      </c>
      <c r="G306" s="5" t="s">
        <v>1052</v>
      </c>
    </row>
    <row r="307" customFormat="false" ht="15" hidden="false" customHeight="false" outlineLevel="0" collapsed="false">
      <c r="A307" s="5" t="s">
        <v>89</v>
      </c>
      <c r="B307" s="5" t="s">
        <v>469</v>
      </c>
      <c r="C307" s="5" t="s">
        <v>488</v>
      </c>
      <c r="D307" s="5" t="s">
        <v>445</v>
      </c>
      <c r="E307" s="5" t="s">
        <v>479</v>
      </c>
      <c r="F307" s="5" t="s">
        <v>1054</v>
      </c>
      <c r="G307" s="5" t="s">
        <v>1052</v>
      </c>
    </row>
    <row r="308" customFormat="false" ht="15" hidden="false" customHeight="false" outlineLevel="0" collapsed="false">
      <c r="A308" s="5" t="s">
        <v>89</v>
      </c>
      <c r="B308" s="5" t="s">
        <v>469</v>
      </c>
      <c r="C308" s="5" t="s">
        <v>489</v>
      </c>
      <c r="D308" s="5" t="s">
        <v>445</v>
      </c>
      <c r="E308" s="5" t="s">
        <v>481</v>
      </c>
      <c r="F308" s="5" t="s">
        <v>1054</v>
      </c>
      <c r="G308" s="5" t="s">
        <v>1052</v>
      </c>
    </row>
    <row r="309" customFormat="false" ht="15" hidden="false" customHeight="false" outlineLevel="0" collapsed="false">
      <c r="A309" s="5" t="s">
        <v>89</v>
      </c>
      <c r="B309" s="5" t="s">
        <v>469</v>
      </c>
      <c r="C309" s="5" t="s">
        <v>490</v>
      </c>
      <c r="D309" s="5" t="s">
        <v>445</v>
      </c>
      <c r="E309" s="5" t="s">
        <v>95</v>
      </c>
      <c r="F309" s="5" t="s">
        <v>1053</v>
      </c>
      <c r="G309" s="5" t="s">
        <v>1052</v>
      </c>
    </row>
    <row r="310" customFormat="false" ht="15" hidden="false" customHeight="false" outlineLevel="0" collapsed="false">
      <c r="A310" s="5" t="s">
        <v>89</v>
      </c>
      <c r="B310" s="5" t="s">
        <v>469</v>
      </c>
      <c r="C310" s="5" t="s">
        <v>491</v>
      </c>
      <c r="D310" s="5" t="s">
        <v>492</v>
      </c>
      <c r="E310" s="5" t="s">
        <v>93</v>
      </c>
      <c r="F310" s="5" t="s">
        <v>1054</v>
      </c>
      <c r="G310" s="5" t="s">
        <v>1052</v>
      </c>
    </row>
    <row r="311" customFormat="false" ht="15" hidden="false" customHeight="false" outlineLevel="0" collapsed="false">
      <c r="A311" s="5" t="s">
        <v>89</v>
      </c>
      <c r="B311" s="5" t="s">
        <v>469</v>
      </c>
      <c r="C311" s="5" t="s">
        <v>493</v>
      </c>
      <c r="D311" s="5" t="s">
        <v>492</v>
      </c>
      <c r="E311" s="5" t="s">
        <v>98</v>
      </c>
      <c r="F311" s="5" t="s">
        <v>1054</v>
      </c>
      <c r="G311" s="5" t="s">
        <v>1052</v>
      </c>
    </row>
    <row r="312" customFormat="false" ht="15" hidden="false" customHeight="false" outlineLevel="0" collapsed="false">
      <c r="A312" s="5" t="s">
        <v>89</v>
      </c>
      <c r="B312" s="5" t="s">
        <v>469</v>
      </c>
      <c r="C312" s="5" t="s">
        <v>494</v>
      </c>
      <c r="D312" s="5" t="s">
        <v>492</v>
      </c>
      <c r="E312" s="5" t="s">
        <v>474</v>
      </c>
      <c r="F312" s="5" t="s">
        <v>1054</v>
      </c>
      <c r="G312" s="5" t="s">
        <v>1052</v>
      </c>
    </row>
    <row r="313" customFormat="false" ht="15" hidden="false" customHeight="false" outlineLevel="0" collapsed="false">
      <c r="A313" s="5" t="s">
        <v>89</v>
      </c>
      <c r="B313" s="5" t="s">
        <v>469</v>
      </c>
      <c r="C313" s="5" t="s">
        <v>495</v>
      </c>
      <c r="D313" s="5" t="s">
        <v>492</v>
      </c>
      <c r="E313" s="5" t="s">
        <v>145</v>
      </c>
      <c r="F313" s="5" t="s">
        <v>1054</v>
      </c>
      <c r="G313" s="5" t="s">
        <v>1052</v>
      </c>
    </row>
    <row r="314" customFormat="false" ht="15" hidden="false" customHeight="false" outlineLevel="0" collapsed="false">
      <c r="A314" s="5" t="s">
        <v>89</v>
      </c>
      <c r="B314" s="5" t="s">
        <v>469</v>
      </c>
      <c r="C314" s="5" t="s">
        <v>496</v>
      </c>
      <c r="D314" s="5" t="s">
        <v>492</v>
      </c>
      <c r="E314" s="5" t="s">
        <v>477</v>
      </c>
      <c r="F314" s="5" t="s">
        <v>1054</v>
      </c>
      <c r="G314" s="5" t="s">
        <v>1052</v>
      </c>
    </row>
    <row r="315" customFormat="false" ht="15" hidden="false" customHeight="false" outlineLevel="0" collapsed="false">
      <c r="A315" s="5" t="s">
        <v>89</v>
      </c>
      <c r="B315" s="5" t="s">
        <v>469</v>
      </c>
      <c r="C315" s="5" t="s">
        <v>497</v>
      </c>
      <c r="D315" s="5" t="s">
        <v>492</v>
      </c>
      <c r="E315" s="5" t="s">
        <v>479</v>
      </c>
      <c r="F315" s="5" t="s">
        <v>1054</v>
      </c>
      <c r="G315" s="5" t="s">
        <v>1052</v>
      </c>
    </row>
    <row r="316" customFormat="false" ht="15" hidden="false" customHeight="false" outlineLevel="0" collapsed="false">
      <c r="A316" s="5" t="s">
        <v>89</v>
      </c>
      <c r="B316" s="5" t="s">
        <v>469</v>
      </c>
      <c r="C316" s="5" t="s">
        <v>498</v>
      </c>
      <c r="D316" s="5" t="s">
        <v>492</v>
      </c>
      <c r="E316" s="5" t="s">
        <v>481</v>
      </c>
      <c r="F316" s="5" t="s">
        <v>1054</v>
      </c>
      <c r="G316" s="5" t="s">
        <v>1052</v>
      </c>
    </row>
    <row r="317" customFormat="false" ht="15" hidden="false" customHeight="false" outlineLevel="0" collapsed="false">
      <c r="A317" s="5" t="s">
        <v>89</v>
      </c>
      <c r="B317" s="5" t="s">
        <v>469</v>
      </c>
      <c r="C317" s="5" t="s">
        <v>499</v>
      </c>
      <c r="D317" s="5" t="s">
        <v>492</v>
      </c>
      <c r="E317" s="5" t="s">
        <v>95</v>
      </c>
      <c r="F317" s="5" t="s">
        <v>1053</v>
      </c>
      <c r="G317" s="5" t="s">
        <v>1052</v>
      </c>
    </row>
    <row r="318" customFormat="false" ht="15" hidden="false" customHeight="false" outlineLevel="0" collapsed="false">
      <c r="A318" s="5" t="s">
        <v>89</v>
      </c>
      <c r="B318" s="5" t="s">
        <v>469</v>
      </c>
      <c r="C318" s="5" t="s">
        <v>500</v>
      </c>
      <c r="D318" s="5" t="s">
        <v>415</v>
      </c>
      <c r="E318" s="5" t="s">
        <v>93</v>
      </c>
      <c r="F318" s="5" t="s">
        <v>1054</v>
      </c>
      <c r="G318" s="5" t="s">
        <v>1052</v>
      </c>
    </row>
    <row r="319" customFormat="false" ht="15" hidden="false" customHeight="false" outlineLevel="0" collapsed="false">
      <c r="A319" s="5" t="s">
        <v>89</v>
      </c>
      <c r="B319" s="5" t="s">
        <v>469</v>
      </c>
      <c r="C319" s="5" t="s">
        <v>501</v>
      </c>
      <c r="D319" s="5" t="s">
        <v>415</v>
      </c>
      <c r="E319" s="5" t="s">
        <v>98</v>
      </c>
      <c r="F319" s="5" t="s">
        <v>1054</v>
      </c>
      <c r="G319" s="5" t="s">
        <v>1052</v>
      </c>
    </row>
    <row r="320" customFormat="false" ht="15" hidden="false" customHeight="false" outlineLevel="0" collapsed="false">
      <c r="A320" s="5" t="s">
        <v>89</v>
      </c>
      <c r="B320" s="5" t="s">
        <v>469</v>
      </c>
      <c r="C320" s="5" t="s">
        <v>502</v>
      </c>
      <c r="D320" s="5" t="s">
        <v>415</v>
      </c>
      <c r="E320" s="5" t="s">
        <v>474</v>
      </c>
      <c r="F320" s="5" t="s">
        <v>1054</v>
      </c>
      <c r="G320" s="5" t="s">
        <v>1052</v>
      </c>
    </row>
    <row r="321" customFormat="false" ht="15" hidden="false" customHeight="false" outlineLevel="0" collapsed="false">
      <c r="A321" s="5" t="s">
        <v>89</v>
      </c>
      <c r="B321" s="5" t="s">
        <v>469</v>
      </c>
      <c r="C321" s="5" t="s">
        <v>503</v>
      </c>
      <c r="D321" s="5" t="s">
        <v>415</v>
      </c>
      <c r="E321" s="5" t="s">
        <v>145</v>
      </c>
      <c r="F321" s="5" t="s">
        <v>1054</v>
      </c>
      <c r="G321" s="5" t="s">
        <v>1052</v>
      </c>
    </row>
    <row r="322" customFormat="false" ht="15" hidden="false" customHeight="false" outlineLevel="0" collapsed="false">
      <c r="A322" s="5" t="s">
        <v>89</v>
      </c>
      <c r="B322" s="5" t="s">
        <v>469</v>
      </c>
      <c r="C322" s="5" t="s">
        <v>504</v>
      </c>
      <c r="D322" s="5" t="s">
        <v>415</v>
      </c>
      <c r="E322" s="5" t="s">
        <v>477</v>
      </c>
      <c r="F322" s="5" t="s">
        <v>1054</v>
      </c>
      <c r="G322" s="5" t="s">
        <v>1052</v>
      </c>
    </row>
    <row r="323" customFormat="false" ht="15" hidden="false" customHeight="false" outlineLevel="0" collapsed="false">
      <c r="A323" s="5" t="s">
        <v>89</v>
      </c>
      <c r="B323" s="5" t="s">
        <v>469</v>
      </c>
      <c r="C323" s="5" t="s">
        <v>505</v>
      </c>
      <c r="D323" s="5" t="s">
        <v>415</v>
      </c>
      <c r="E323" s="5" t="s">
        <v>479</v>
      </c>
      <c r="F323" s="5" t="s">
        <v>1054</v>
      </c>
      <c r="G323" s="5" t="s">
        <v>1052</v>
      </c>
    </row>
    <row r="324" customFormat="false" ht="15" hidden="false" customHeight="false" outlineLevel="0" collapsed="false">
      <c r="A324" s="5" t="s">
        <v>89</v>
      </c>
      <c r="B324" s="5" t="s">
        <v>469</v>
      </c>
      <c r="C324" s="5" t="s">
        <v>506</v>
      </c>
      <c r="D324" s="5" t="s">
        <v>415</v>
      </c>
      <c r="E324" s="5" t="s">
        <v>481</v>
      </c>
      <c r="F324" s="5" t="s">
        <v>1054</v>
      </c>
      <c r="G324" s="5" t="s">
        <v>1052</v>
      </c>
    </row>
    <row r="325" customFormat="false" ht="15" hidden="false" customHeight="false" outlineLevel="0" collapsed="false">
      <c r="A325" s="5" t="s">
        <v>89</v>
      </c>
      <c r="B325" s="5" t="s">
        <v>469</v>
      </c>
      <c r="C325" s="5" t="s">
        <v>507</v>
      </c>
      <c r="D325" s="5" t="s">
        <v>415</v>
      </c>
      <c r="E325" s="5" t="s">
        <v>95</v>
      </c>
      <c r="F325" s="5" t="s">
        <v>1053</v>
      </c>
      <c r="G325" s="5" t="s">
        <v>1052</v>
      </c>
    </row>
    <row r="326" customFormat="false" ht="15" hidden="false" customHeight="false" outlineLevel="0" collapsed="false">
      <c r="A326" s="5" t="s">
        <v>89</v>
      </c>
      <c r="B326" s="5" t="s">
        <v>508</v>
      </c>
      <c r="C326" s="5" t="s">
        <v>509</v>
      </c>
      <c r="D326" s="5" t="s">
        <v>510</v>
      </c>
      <c r="E326" s="5" t="s">
        <v>511</v>
      </c>
      <c r="F326" s="5" t="s">
        <v>1051</v>
      </c>
      <c r="G326" s="5" t="s">
        <v>1052</v>
      </c>
    </row>
    <row r="327" customFormat="false" ht="15" hidden="false" customHeight="false" outlineLevel="0" collapsed="false">
      <c r="A327" s="5" t="s">
        <v>89</v>
      </c>
      <c r="B327" s="5" t="s">
        <v>508</v>
      </c>
      <c r="C327" s="5" t="s">
        <v>512</v>
      </c>
      <c r="D327" s="5" t="s">
        <v>510</v>
      </c>
      <c r="E327" s="5" t="s">
        <v>513</v>
      </c>
      <c r="F327" s="5" t="s">
        <v>1051</v>
      </c>
      <c r="G327" s="5" t="s">
        <v>1052</v>
      </c>
    </row>
    <row r="328" customFormat="false" ht="15" hidden="false" customHeight="false" outlineLevel="0" collapsed="false">
      <c r="A328" s="5" t="s">
        <v>89</v>
      </c>
      <c r="B328" s="5" t="s">
        <v>508</v>
      </c>
      <c r="C328" s="5" t="s">
        <v>514</v>
      </c>
      <c r="D328" s="5" t="s">
        <v>515</v>
      </c>
      <c r="E328" s="5" t="s">
        <v>511</v>
      </c>
      <c r="F328" s="5" t="s">
        <v>1051</v>
      </c>
      <c r="G328" s="5" t="s">
        <v>1052</v>
      </c>
    </row>
    <row r="329" customFormat="false" ht="15" hidden="false" customHeight="false" outlineLevel="0" collapsed="false">
      <c r="A329" s="5" t="s">
        <v>89</v>
      </c>
      <c r="B329" s="5" t="s">
        <v>508</v>
      </c>
      <c r="C329" s="5" t="s">
        <v>516</v>
      </c>
      <c r="D329" s="5" t="s">
        <v>515</v>
      </c>
      <c r="E329" s="5" t="s">
        <v>513</v>
      </c>
      <c r="F329" s="5" t="s">
        <v>1051</v>
      </c>
      <c r="G329" s="5" t="s">
        <v>1052</v>
      </c>
    </row>
    <row r="330" customFormat="false" ht="15" hidden="false" customHeight="false" outlineLevel="0" collapsed="false">
      <c r="A330" s="5" t="s">
        <v>89</v>
      </c>
      <c r="B330" s="5" t="s">
        <v>508</v>
      </c>
      <c r="C330" s="5" t="s">
        <v>517</v>
      </c>
      <c r="D330" s="5" t="s">
        <v>518</v>
      </c>
      <c r="E330" s="5" t="s">
        <v>511</v>
      </c>
      <c r="F330" s="5" t="s">
        <v>1051</v>
      </c>
      <c r="G330" s="5" t="s">
        <v>1052</v>
      </c>
    </row>
    <row r="331" customFormat="false" ht="15" hidden="false" customHeight="false" outlineLevel="0" collapsed="false">
      <c r="A331" s="5" t="s">
        <v>89</v>
      </c>
      <c r="B331" s="5" t="s">
        <v>508</v>
      </c>
      <c r="C331" s="5" t="s">
        <v>519</v>
      </c>
      <c r="D331" s="5" t="s">
        <v>518</v>
      </c>
      <c r="E331" s="5" t="s">
        <v>513</v>
      </c>
      <c r="F331" s="5" t="s">
        <v>1051</v>
      </c>
      <c r="G331" s="5" t="s">
        <v>1052</v>
      </c>
    </row>
    <row r="332" customFormat="false" ht="15" hidden="false" customHeight="false" outlineLevel="0" collapsed="false">
      <c r="A332" s="5" t="s">
        <v>109</v>
      </c>
      <c r="B332" s="5" t="s">
        <v>90</v>
      </c>
      <c r="C332" s="5" t="s">
        <v>520</v>
      </c>
      <c r="D332" s="5" t="s">
        <v>521</v>
      </c>
      <c r="E332" s="5" t="s">
        <v>522</v>
      </c>
      <c r="F332" s="5" t="s">
        <v>1051</v>
      </c>
      <c r="G332" s="5" t="s">
        <v>1052</v>
      </c>
    </row>
    <row r="333" customFormat="false" ht="15" hidden="false" customHeight="false" outlineLevel="0" collapsed="false">
      <c r="A333" s="5" t="s">
        <v>109</v>
      </c>
      <c r="B333" s="5" t="s">
        <v>90</v>
      </c>
      <c r="C333" s="5" t="s">
        <v>523</v>
      </c>
      <c r="D333" s="5" t="s">
        <v>521</v>
      </c>
      <c r="E333" s="5" t="s">
        <v>524</v>
      </c>
      <c r="F333" s="5" t="s">
        <v>1051</v>
      </c>
      <c r="G333" s="5" t="s">
        <v>1052</v>
      </c>
    </row>
    <row r="334" customFormat="false" ht="15" hidden="false" customHeight="false" outlineLevel="0" collapsed="false">
      <c r="A334" s="5" t="s">
        <v>109</v>
      </c>
      <c r="B334" s="5" t="s">
        <v>90</v>
      </c>
      <c r="C334" s="5" t="s">
        <v>525</v>
      </c>
      <c r="D334" s="5" t="s">
        <v>521</v>
      </c>
      <c r="E334" s="5" t="s">
        <v>526</v>
      </c>
      <c r="F334" s="5" t="s">
        <v>1051</v>
      </c>
      <c r="G334" s="5" t="s">
        <v>1052</v>
      </c>
    </row>
    <row r="335" customFormat="false" ht="15" hidden="false" customHeight="false" outlineLevel="0" collapsed="false">
      <c r="A335" s="5" t="s">
        <v>109</v>
      </c>
      <c r="B335" s="5" t="s">
        <v>90</v>
      </c>
      <c r="C335" s="5" t="s">
        <v>527</v>
      </c>
      <c r="D335" s="5" t="s">
        <v>521</v>
      </c>
      <c r="E335" s="5" t="s">
        <v>528</v>
      </c>
      <c r="F335" s="5" t="s">
        <v>1051</v>
      </c>
      <c r="G335" s="5" t="s">
        <v>1052</v>
      </c>
    </row>
    <row r="336" customFormat="false" ht="15" hidden="false" customHeight="false" outlineLevel="0" collapsed="false">
      <c r="A336" s="5" t="s">
        <v>109</v>
      </c>
      <c r="B336" s="5" t="s">
        <v>90</v>
      </c>
      <c r="C336" s="5" t="s">
        <v>529</v>
      </c>
      <c r="D336" s="5" t="s">
        <v>521</v>
      </c>
      <c r="E336" s="5" t="s">
        <v>530</v>
      </c>
      <c r="F336" s="5" t="s">
        <v>1051</v>
      </c>
      <c r="G336" s="5" t="s">
        <v>1052</v>
      </c>
    </row>
    <row r="337" customFormat="false" ht="15" hidden="false" customHeight="false" outlineLevel="0" collapsed="false">
      <c r="A337" s="5" t="s">
        <v>109</v>
      </c>
      <c r="B337" s="5" t="s">
        <v>90</v>
      </c>
      <c r="C337" s="5" t="s">
        <v>531</v>
      </c>
      <c r="D337" s="5" t="s">
        <v>521</v>
      </c>
      <c r="E337" s="5" t="s">
        <v>112</v>
      </c>
      <c r="F337" s="5" t="s">
        <v>1051</v>
      </c>
      <c r="G337" s="5" t="s">
        <v>1052</v>
      </c>
    </row>
    <row r="338" customFormat="false" ht="15" hidden="false" customHeight="false" outlineLevel="0" collapsed="false">
      <c r="A338" s="5" t="s">
        <v>109</v>
      </c>
      <c r="B338" s="5" t="s">
        <v>90</v>
      </c>
      <c r="C338" s="5" t="s">
        <v>532</v>
      </c>
      <c r="D338" s="5" t="s">
        <v>521</v>
      </c>
      <c r="E338" s="5" t="s">
        <v>533</v>
      </c>
      <c r="F338" s="5" t="s">
        <v>1051</v>
      </c>
      <c r="G338" s="5" t="s">
        <v>1052</v>
      </c>
    </row>
    <row r="339" customFormat="false" ht="15" hidden="false" customHeight="false" outlineLevel="0" collapsed="false">
      <c r="A339" s="5" t="s">
        <v>109</v>
      </c>
      <c r="B339" s="5" t="s">
        <v>90</v>
      </c>
      <c r="C339" s="5" t="s">
        <v>534</v>
      </c>
      <c r="D339" s="5" t="s">
        <v>521</v>
      </c>
      <c r="E339" s="5" t="s">
        <v>123</v>
      </c>
      <c r="F339" s="5" t="s">
        <v>1051</v>
      </c>
      <c r="G339" s="5" t="s">
        <v>1052</v>
      </c>
    </row>
    <row r="340" customFormat="false" ht="15" hidden="false" customHeight="false" outlineLevel="0" collapsed="false">
      <c r="A340" s="5" t="s">
        <v>109</v>
      </c>
      <c r="B340" s="5" t="s">
        <v>90</v>
      </c>
      <c r="C340" s="5" t="s">
        <v>535</v>
      </c>
      <c r="D340" s="5" t="s">
        <v>521</v>
      </c>
      <c r="E340" s="5" t="s">
        <v>536</v>
      </c>
      <c r="F340" s="5" t="s">
        <v>1051</v>
      </c>
      <c r="G340" s="5" t="s">
        <v>1052</v>
      </c>
    </row>
    <row r="341" customFormat="false" ht="15" hidden="false" customHeight="false" outlineLevel="0" collapsed="false">
      <c r="A341" s="5" t="s">
        <v>109</v>
      </c>
      <c r="B341" s="5" t="s">
        <v>90</v>
      </c>
      <c r="C341" s="5" t="s">
        <v>537</v>
      </c>
      <c r="D341" s="5" t="s">
        <v>521</v>
      </c>
      <c r="E341" s="5" t="s">
        <v>538</v>
      </c>
      <c r="F341" s="5" t="s">
        <v>1051</v>
      </c>
      <c r="G341" s="5" t="s">
        <v>1052</v>
      </c>
    </row>
    <row r="342" customFormat="false" ht="15" hidden="false" customHeight="false" outlineLevel="0" collapsed="false">
      <c r="A342" s="5" t="s">
        <v>109</v>
      </c>
      <c r="B342" s="5" t="s">
        <v>90</v>
      </c>
      <c r="C342" s="5" t="s">
        <v>539</v>
      </c>
      <c r="D342" s="5" t="s">
        <v>521</v>
      </c>
      <c r="E342" s="5" t="s">
        <v>540</v>
      </c>
      <c r="F342" s="5" t="s">
        <v>1051</v>
      </c>
      <c r="G342" s="5" t="s">
        <v>1052</v>
      </c>
    </row>
    <row r="343" customFormat="false" ht="15" hidden="false" customHeight="false" outlineLevel="0" collapsed="false">
      <c r="A343" s="5" t="s">
        <v>109</v>
      </c>
      <c r="B343" s="5" t="s">
        <v>90</v>
      </c>
      <c r="C343" s="5" t="s">
        <v>541</v>
      </c>
      <c r="D343" s="5" t="s">
        <v>521</v>
      </c>
      <c r="E343" s="5" t="s">
        <v>114</v>
      </c>
      <c r="F343" s="5" t="s">
        <v>1055</v>
      </c>
      <c r="G343" s="5" t="s">
        <v>1052</v>
      </c>
    </row>
    <row r="344" customFormat="false" ht="15" hidden="false" customHeight="false" outlineLevel="0" collapsed="false">
      <c r="A344" s="5" t="s">
        <v>109</v>
      </c>
      <c r="B344" s="5" t="s">
        <v>90</v>
      </c>
      <c r="C344" s="5" t="s">
        <v>542</v>
      </c>
      <c r="D344" s="5" t="s">
        <v>521</v>
      </c>
      <c r="E344" s="5" t="s">
        <v>116</v>
      </c>
      <c r="F344" s="5" t="s">
        <v>1055</v>
      </c>
      <c r="G344" s="5" t="s">
        <v>1052</v>
      </c>
    </row>
    <row r="345" customFormat="false" ht="15" hidden="false" customHeight="false" outlineLevel="0" collapsed="false">
      <c r="A345" s="5" t="s">
        <v>109</v>
      </c>
      <c r="B345" s="5" t="s">
        <v>90</v>
      </c>
      <c r="C345" s="5" t="s">
        <v>543</v>
      </c>
      <c r="D345" s="5" t="s">
        <v>521</v>
      </c>
      <c r="E345" s="5" t="s">
        <v>544</v>
      </c>
      <c r="F345" s="5" t="s">
        <v>1055</v>
      </c>
      <c r="G345" s="5" t="s">
        <v>1052</v>
      </c>
    </row>
    <row r="346" customFormat="false" ht="15" hidden="false" customHeight="false" outlineLevel="0" collapsed="false">
      <c r="A346" s="5" t="s">
        <v>109</v>
      </c>
      <c r="B346" s="5" t="s">
        <v>90</v>
      </c>
      <c r="C346" s="5" t="s">
        <v>545</v>
      </c>
      <c r="D346" s="5" t="s">
        <v>521</v>
      </c>
      <c r="E346" s="5" t="s">
        <v>546</v>
      </c>
      <c r="F346" s="5" t="s">
        <v>1055</v>
      </c>
      <c r="G346" s="5" t="s">
        <v>1052</v>
      </c>
    </row>
    <row r="347" customFormat="false" ht="15" hidden="false" customHeight="false" outlineLevel="0" collapsed="false">
      <c r="A347" s="5" t="s">
        <v>109</v>
      </c>
      <c r="B347" s="5" t="s">
        <v>90</v>
      </c>
      <c r="C347" s="5" t="s">
        <v>547</v>
      </c>
      <c r="D347" s="5" t="s">
        <v>521</v>
      </c>
      <c r="E347" s="5" t="s">
        <v>548</v>
      </c>
      <c r="F347" s="5" t="s">
        <v>1055</v>
      </c>
      <c r="G347" s="5" t="s">
        <v>1052</v>
      </c>
    </row>
    <row r="348" customFormat="false" ht="15" hidden="false" customHeight="false" outlineLevel="0" collapsed="false">
      <c r="A348" s="5" t="s">
        <v>109</v>
      </c>
      <c r="B348" s="5" t="s">
        <v>90</v>
      </c>
      <c r="C348" s="5" t="s">
        <v>549</v>
      </c>
      <c r="D348" s="5" t="s">
        <v>521</v>
      </c>
      <c r="E348" s="5" t="s">
        <v>550</v>
      </c>
      <c r="F348" s="5" t="s">
        <v>1055</v>
      </c>
      <c r="G348" s="5" t="s">
        <v>1052</v>
      </c>
    </row>
    <row r="349" customFormat="false" ht="15" hidden="false" customHeight="false" outlineLevel="0" collapsed="false">
      <c r="A349" s="5" t="s">
        <v>109</v>
      </c>
      <c r="B349" s="5" t="s">
        <v>90</v>
      </c>
      <c r="C349" s="5" t="s">
        <v>551</v>
      </c>
      <c r="D349" s="5" t="s">
        <v>521</v>
      </c>
      <c r="E349" s="5" t="s">
        <v>118</v>
      </c>
      <c r="F349" s="5" t="s">
        <v>1055</v>
      </c>
      <c r="G349" s="5" t="s">
        <v>1052</v>
      </c>
    </row>
    <row r="350" customFormat="false" ht="15" hidden="false" customHeight="false" outlineLevel="0" collapsed="false">
      <c r="A350" s="5" t="s">
        <v>109</v>
      </c>
      <c r="B350" s="5" t="s">
        <v>90</v>
      </c>
      <c r="C350" s="5" t="s">
        <v>552</v>
      </c>
      <c r="D350" s="5" t="s">
        <v>521</v>
      </c>
      <c r="E350" s="5" t="s">
        <v>120</v>
      </c>
      <c r="F350" s="5" t="s">
        <v>1055</v>
      </c>
      <c r="G350" s="5" t="s">
        <v>1052</v>
      </c>
    </row>
    <row r="351" customFormat="false" ht="15" hidden="false" customHeight="false" outlineLevel="0" collapsed="false">
      <c r="A351" s="5" t="s">
        <v>109</v>
      </c>
      <c r="B351" s="5" t="s">
        <v>90</v>
      </c>
      <c r="C351" s="5" t="s">
        <v>553</v>
      </c>
      <c r="D351" s="5" t="s">
        <v>521</v>
      </c>
      <c r="E351" s="5" t="s">
        <v>554</v>
      </c>
      <c r="F351" s="5" t="s">
        <v>1055</v>
      </c>
      <c r="G351" s="5" t="s">
        <v>1052</v>
      </c>
    </row>
    <row r="352" customFormat="false" ht="15" hidden="false" customHeight="false" outlineLevel="0" collapsed="false">
      <c r="A352" s="5" t="s">
        <v>109</v>
      </c>
      <c r="B352" s="5" t="s">
        <v>90</v>
      </c>
      <c r="C352" s="5" t="s">
        <v>555</v>
      </c>
      <c r="D352" s="5" t="s">
        <v>556</v>
      </c>
      <c r="E352" s="5" t="s">
        <v>522</v>
      </c>
      <c r="F352" s="5" t="s">
        <v>1051</v>
      </c>
      <c r="G352" s="5" t="s">
        <v>1052</v>
      </c>
    </row>
    <row r="353" customFormat="false" ht="15" hidden="false" customHeight="false" outlineLevel="0" collapsed="false">
      <c r="A353" s="5" t="s">
        <v>109</v>
      </c>
      <c r="B353" s="5" t="s">
        <v>90</v>
      </c>
      <c r="C353" s="5" t="s">
        <v>557</v>
      </c>
      <c r="D353" s="5" t="s">
        <v>556</v>
      </c>
      <c r="E353" s="5" t="s">
        <v>524</v>
      </c>
      <c r="F353" s="5" t="s">
        <v>1051</v>
      </c>
      <c r="G353" s="5" t="s">
        <v>1052</v>
      </c>
    </row>
    <row r="354" customFormat="false" ht="15" hidden="false" customHeight="false" outlineLevel="0" collapsed="false">
      <c r="A354" s="5" t="s">
        <v>109</v>
      </c>
      <c r="B354" s="5" t="s">
        <v>90</v>
      </c>
      <c r="C354" s="5" t="s">
        <v>558</v>
      </c>
      <c r="D354" s="5" t="s">
        <v>556</v>
      </c>
      <c r="E354" s="5" t="s">
        <v>526</v>
      </c>
      <c r="F354" s="5" t="s">
        <v>1051</v>
      </c>
      <c r="G354" s="5" t="s">
        <v>1052</v>
      </c>
    </row>
    <row r="355" customFormat="false" ht="15" hidden="false" customHeight="false" outlineLevel="0" collapsed="false">
      <c r="A355" s="5" t="s">
        <v>109</v>
      </c>
      <c r="B355" s="5" t="s">
        <v>90</v>
      </c>
      <c r="C355" s="5" t="s">
        <v>559</v>
      </c>
      <c r="D355" s="5" t="s">
        <v>556</v>
      </c>
      <c r="E355" s="5" t="s">
        <v>528</v>
      </c>
      <c r="F355" s="5" t="s">
        <v>1051</v>
      </c>
      <c r="G355" s="5" t="s">
        <v>1052</v>
      </c>
    </row>
    <row r="356" customFormat="false" ht="15" hidden="false" customHeight="false" outlineLevel="0" collapsed="false">
      <c r="A356" s="5" t="s">
        <v>109</v>
      </c>
      <c r="B356" s="5" t="s">
        <v>90</v>
      </c>
      <c r="C356" s="5" t="s">
        <v>560</v>
      </c>
      <c r="D356" s="5" t="s">
        <v>556</v>
      </c>
      <c r="E356" s="5" t="s">
        <v>530</v>
      </c>
      <c r="F356" s="5" t="s">
        <v>1051</v>
      </c>
      <c r="G356" s="5" t="s">
        <v>1052</v>
      </c>
    </row>
    <row r="357" customFormat="false" ht="15" hidden="false" customHeight="false" outlineLevel="0" collapsed="false">
      <c r="A357" s="5" t="s">
        <v>109</v>
      </c>
      <c r="B357" s="5" t="s">
        <v>90</v>
      </c>
      <c r="C357" s="5" t="s">
        <v>561</v>
      </c>
      <c r="D357" s="5" t="s">
        <v>556</v>
      </c>
      <c r="E357" s="5" t="s">
        <v>112</v>
      </c>
      <c r="F357" s="5" t="s">
        <v>1051</v>
      </c>
      <c r="G357" s="5" t="s">
        <v>1052</v>
      </c>
    </row>
    <row r="358" customFormat="false" ht="15" hidden="false" customHeight="false" outlineLevel="0" collapsed="false">
      <c r="A358" s="5" t="s">
        <v>109</v>
      </c>
      <c r="B358" s="5" t="s">
        <v>90</v>
      </c>
      <c r="C358" s="5" t="s">
        <v>562</v>
      </c>
      <c r="D358" s="5" t="s">
        <v>556</v>
      </c>
      <c r="E358" s="5" t="s">
        <v>533</v>
      </c>
      <c r="F358" s="5" t="s">
        <v>1051</v>
      </c>
      <c r="G358" s="5" t="s">
        <v>1052</v>
      </c>
    </row>
    <row r="359" customFormat="false" ht="15" hidden="false" customHeight="false" outlineLevel="0" collapsed="false">
      <c r="A359" s="5" t="s">
        <v>109</v>
      </c>
      <c r="B359" s="5" t="s">
        <v>90</v>
      </c>
      <c r="C359" s="5" t="s">
        <v>563</v>
      </c>
      <c r="D359" s="5" t="s">
        <v>556</v>
      </c>
      <c r="E359" s="5" t="s">
        <v>123</v>
      </c>
      <c r="F359" s="5" t="s">
        <v>1051</v>
      </c>
      <c r="G359" s="5" t="s">
        <v>1052</v>
      </c>
    </row>
    <row r="360" customFormat="false" ht="15" hidden="false" customHeight="false" outlineLevel="0" collapsed="false">
      <c r="A360" s="5" t="s">
        <v>109</v>
      </c>
      <c r="B360" s="5" t="s">
        <v>90</v>
      </c>
      <c r="C360" s="5" t="s">
        <v>564</v>
      </c>
      <c r="D360" s="5" t="s">
        <v>556</v>
      </c>
      <c r="E360" s="5" t="s">
        <v>536</v>
      </c>
      <c r="F360" s="5" t="s">
        <v>1051</v>
      </c>
      <c r="G360" s="5" t="s">
        <v>1052</v>
      </c>
    </row>
    <row r="361" customFormat="false" ht="15" hidden="false" customHeight="false" outlineLevel="0" collapsed="false">
      <c r="A361" s="5" t="s">
        <v>109</v>
      </c>
      <c r="B361" s="5" t="s">
        <v>90</v>
      </c>
      <c r="C361" s="5" t="s">
        <v>565</v>
      </c>
      <c r="D361" s="5" t="s">
        <v>556</v>
      </c>
      <c r="E361" s="5" t="s">
        <v>538</v>
      </c>
      <c r="F361" s="5" t="s">
        <v>1051</v>
      </c>
      <c r="G361" s="5" t="s">
        <v>1052</v>
      </c>
    </row>
    <row r="362" customFormat="false" ht="15" hidden="false" customHeight="false" outlineLevel="0" collapsed="false">
      <c r="A362" s="5" t="s">
        <v>109</v>
      </c>
      <c r="B362" s="5" t="s">
        <v>90</v>
      </c>
      <c r="C362" s="5" t="s">
        <v>566</v>
      </c>
      <c r="D362" s="5" t="s">
        <v>556</v>
      </c>
      <c r="E362" s="5" t="s">
        <v>540</v>
      </c>
      <c r="F362" s="5" t="s">
        <v>1051</v>
      </c>
      <c r="G362" s="5" t="s">
        <v>1052</v>
      </c>
    </row>
    <row r="363" customFormat="false" ht="15" hidden="false" customHeight="false" outlineLevel="0" collapsed="false">
      <c r="A363" s="5" t="s">
        <v>109</v>
      </c>
      <c r="B363" s="5" t="s">
        <v>90</v>
      </c>
      <c r="C363" s="5" t="s">
        <v>567</v>
      </c>
      <c r="D363" s="5" t="s">
        <v>556</v>
      </c>
      <c r="E363" s="5" t="s">
        <v>114</v>
      </c>
      <c r="F363" s="5" t="s">
        <v>1055</v>
      </c>
      <c r="G363" s="5" t="s">
        <v>1052</v>
      </c>
    </row>
    <row r="364" customFormat="false" ht="15" hidden="false" customHeight="false" outlineLevel="0" collapsed="false">
      <c r="A364" s="5" t="s">
        <v>109</v>
      </c>
      <c r="B364" s="5" t="s">
        <v>90</v>
      </c>
      <c r="C364" s="5" t="s">
        <v>568</v>
      </c>
      <c r="D364" s="5" t="s">
        <v>556</v>
      </c>
      <c r="E364" s="5" t="s">
        <v>116</v>
      </c>
      <c r="F364" s="5" t="s">
        <v>1055</v>
      </c>
      <c r="G364" s="5" t="s">
        <v>1052</v>
      </c>
    </row>
    <row r="365" customFormat="false" ht="15" hidden="false" customHeight="false" outlineLevel="0" collapsed="false">
      <c r="A365" s="5" t="s">
        <v>109</v>
      </c>
      <c r="B365" s="5" t="s">
        <v>90</v>
      </c>
      <c r="C365" s="5" t="s">
        <v>569</v>
      </c>
      <c r="D365" s="5" t="s">
        <v>556</v>
      </c>
      <c r="E365" s="5" t="s">
        <v>544</v>
      </c>
      <c r="F365" s="5" t="s">
        <v>1055</v>
      </c>
      <c r="G365" s="5" t="s">
        <v>1052</v>
      </c>
    </row>
    <row r="366" customFormat="false" ht="15" hidden="false" customHeight="false" outlineLevel="0" collapsed="false">
      <c r="A366" s="5" t="s">
        <v>109</v>
      </c>
      <c r="B366" s="5" t="s">
        <v>90</v>
      </c>
      <c r="C366" s="5" t="s">
        <v>570</v>
      </c>
      <c r="D366" s="5" t="s">
        <v>556</v>
      </c>
      <c r="E366" s="5" t="s">
        <v>546</v>
      </c>
      <c r="F366" s="5" t="s">
        <v>1055</v>
      </c>
      <c r="G366" s="5" t="s">
        <v>1052</v>
      </c>
    </row>
    <row r="367" customFormat="false" ht="15" hidden="false" customHeight="false" outlineLevel="0" collapsed="false">
      <c r="A367" s="5" t="s">
        <v>109</v>
      </c>
      <c r="B367" s="5" t="s">
        <v>90</v>
      </c>
      <c r="C367" s="5" t="s">
        <v>571</v>
      </c>
      <c r="D367" s="5" t="s">
        <v>556</v>
      </c>
      <c r="E367" s="5" t="s">
        <v>548</v>
      </c>
      <c r="F367" s="5" t="s">
        <v>1055</v>
      </c>
      <c r="G367" s="5" t="s">
        <v>1052</v>
      </c>
    </row>
    <row r="368" customFormat="false" ht="15" hidden="false" customHeight="false" outlineLevel="0" collapsed="false">
      <c r="A368" s="5" t="s">
        <v>109</v>
      </c>
      <c r="B368" s="5" t="s">
        <v>90</v>
      </c>
      <c r="C368" s="5" t="s">
        <v>572</v>
      </c>
      <c r="D368" s="5" t="s">
        <v>556</v>
      </c>
      <c r="E368" s="5" t="s">
        <v>550</v>
      </c>
      <c r="F368" s="5" t="s">
        <v>1055</v>
      </c>
      <c r="G368" s="5" t="s">
        <v>1052</v>
      </c>
    </row>
    <row r="369" customFormat="false" ht="15" hidden="false" customHeight="false" outlineLevel="0" collapsed="false">
      <c r="A369" s="5" t="s">
        <v>109</v>
      </c>
      <c r="B369" s="5" t="s">
        <v>90</v>
      </c>
      <c r="C369" s="5" t="s">
        <v>573</v>
      </c>
      <c r="D369" s="5" t="s">
        <v>556</v>
      </c>
      <c r="E369" s="5" t="s">
        <v>118</v>
      </c>
      <c r="F369" s="5" t="s">
        <v>1055</v>
      </c>
      <c r="G369" s="5" t="s">
        <v>1052</v>
      </c>
    </row>
    <row r="370" customFormat="false" ht="15" hidden="false" customHeight="false" outlineLevel="0" collapsed="false">
      <c r="A370" s="5" t="s">
        <v>109</v>
      </c>
      <c r="B370" s="5" t="s">
        <v>90</v>
      </c>
      <c r="C370" s="5" t="s">
        <v>574</v>
      </c>
      <c r="D370" s="5" t="s">
        <v>556</v>
      </c>
      <c r="E370" s="5" t="s">
        <v>120</v>
      </c>
      <c r="F370" s="5" t="s">
        <v>1055</v>
      </c>
      <c r="G370" s="5" t="s">
        <v>1052</v>
      </c>
    </row>
    <row r="371" customFormat="false" ht="15" hidden="false" customHeight="false" outlineLevel="0" collapsed="false">
      <c r="A371" s="5" t="s">
        <v>109</v>
      </c>
      <c r="B371" s="5" t="s">
        <v>90</v>
      </c>
      <c r="C371" s="5" t="s">
        <v>575</v>
      </c>
      <c r="D371" s="5" t="s">
        <v>556</v>
      </c>
      <c r="E371" s="5" t="s">
        <v>554</v>
      </c>
      <c r="F371" s="5" t="s">
        <v>1055</v>
      </c>
      <c r="G371" s="5" t="s">
        <v>1052</v>
      </c>
    </row>
    <row r="372" customFormat="false" ht="15" hidden="false" customHeight="false" outlineLevel="0" collapsed="false">
      <c r="A372" s="5" t="s">
        <v>109</v>
      </c>
      <c r="B372" s="5" t="s">
        <v>90</v>
      </c>
      <c r="C372" s="5" t="s">
        <v>576</v>
      </c>
      <c r="D372" s="5" t="s">
        <v>577</v>
      </c>
      <c r="E372" s="5" t="s">
        <v>522</v>
      </c>
      <c r="F372" s="5" t="s">
        <v>1051</v>
      </c>
      <c r="G372" s="5" t="s">
        <v>1052</v>
      </c>
    </row>
    <row r="373" customFormat="false" ht="15" hidden="false" customHeight="false" outlineLevel="0" collapsed="false">
      <c r="A373" s="5" t="s">
        <v>109</v>
      </c>
      <c r="B373" s="5" t="s">
        <v>90</v>
      </c>
      <c r="C373" s="5" t="s">
        <v>578</v>
      </c>
      <c r="D373" s="5" t="s">
        <v>577</v>
      </c>
      <c r="E373" s="5" t="s">
        <v>524</v>
      </c>
      <c r="F373" s="5" t="s">
        <v>1051</v>
      </c>
      <c r="G373" s="5" t="s">
        <v>1052</v>
      </c>
    </row>
    <row r="374" customFormat="false" ht="15" hidden="false" customHeight="false" outlineLevel="0" collapsed="false">
      <c r="A374" s="5" t="s">
        <v>109</v>
      </c>
      <c r="B374" s="5" t="s">
        <v>90</v>
      </c>
      <c r="C374" s="5" t="s">
        <v>579</v>
      </c>
      <c r="D374" s="5" t="s">
        <v>577</v>
      </c>
      <c r="E374" s="5" t="s">
        <v>526</v>
      </c>
      <c r="F374" s="5" t="s">
        <v>1051</v>
      </c>
      <c r="G374" s="5" t="s">
        <v>1052</v>
      </c>
    </row>
    <row r="375" customFormat="false" ht="15" hidden="false" customHeight="false" outlineLevel="0" collapsed="false">
      <c r="A375" s="5" t="s">
        <v>109</v>
      </c>
      <c r="B375" s="5" t="s">
        <v>90</v>
      </c>
      <c r="C375" s="5" t="s">
        <v>580</v>
      </c>
      <c r="D375" s="5" t="s">
        <v>577</v>
      </c>
      <c r="E375" s="5" t="s">
        <v>528</v>
      </c>
      <c r="F375" s="5" t="s">
        <v>1051</v>
      </c>
      <c r="G375" s="5" t="s">
        <v>1052</v>
      </c>
    </row>
    <row r="376" customFormat="false" ht="15" hidden="false" customHeight="false" outlineLevel="0" collapsed="false">
      <c r="A376" s="5" t="s">
        <v>109</v>
      </c>
      <c r="B376" s="5" t="s">
        <v>90</v>
      </c>
      <c r="C376" s="5" t="s">
        <v>581</v>
      </c>
      <c r="D376" s="5" t="s">
        <v>577</v>
      </c>
      <c r="E376" s="5" t="s">
        <v>530</v>
      </c>
      <c r="F376" s="5" t="s">
        <v>1051</v>
      </c>
      <c r="G376" s="5" t="s">
        <v>1052</v>
      </c>
    </row>
    <row r="377" customFormat="false" ht="15" hidden="false" customHeight="false" outlineLevel="0" collapsed="false">
      <c r="A377" s="5" t="s">
        <v>109</v>
      </c>
      <c r="B377" s="5" t="s">
        <v>90</v>
      </c>
      <c r="C377" s="5" t="s">
        <v>582</v>
      </c>
      <c r="D377" s="5" t="s">
        <v>577</v>
      </c>
      <c r="E377" s="5" t="s">
        <v>112</v>
      </c>
      <c r="F377" s="5" t="s">
        <v>1051</v>
      </c>
      <c r="G377" s="5" t="s">
        <v>1052</v>
      </c>
    </row>
    <row r="378" customFormat="false" ht="15" hidden="false" customHeight="false" outlineLevel="0" collapsed="false">
      <c r="A378" s="5" t="s">
        <v>109</v>
      </c>
      <c r="B378" s="5" t="s">
        <v>90</v>
      </c>
      <c r="C378" s="5" t="s">
        <v>583</v>
      </c>
      <c r="D378" s="5" t="s">
        <v>577</v>
      </c>
      <c r="E378" s="5" t="s">
        <v>533</v>
      </c>
      <c r="F378" s="5" t="s">
        <v>1051</v>
      </c>
      <c r="G378" s="5" t="s">
        <v>1052</v>
      </c>
    </row>
    <row r="379" customFormat="false" ht="15" hidden="false" customHeight="false" outlineLevel="0" collapsed="false">
      <c r="A379" s="5" t="s">
        <v>109</v>
      </c>
      <c r="B379" s="5" t="s">
        <v>90</v>
      </c>
      <c r="C379" s="5" t="s">
        <v>584</v>
      </c>
      <c r="D379" s="5" t="s">
        <v>577</v>
      </c>
      <c r="E379" s="5" t="s">
        <v>123</v>
      </c>
      <c r="F379" s="5" t="s">
        <v>1051</v>
      </c>
      <c r="G379" s="5" t="s">
        <v>1052</v>
      </c>
    </row>
    <row r="380" customFormat="false" ht="15" hidden="false" customHeight="false" outlineLevel="0" collapsed="false">
      <c r="A380" s="5" t="s">
        <v>109</v>
      </c>
      <c r="B380" s="5" t="s">
        <v>90</v>
      </c>
      <c r="C380" s="5" t="s">
        <v>585</v>
      </c>
      <c r="D380" s="5" t="s">
        <v>577</v>
      </c>
      <c r="E380" s="5" t="s">
        <v>536</v>
      </c>
      <c r="F380" s="5" t="s">
        <v>1051</v>
      </c>
      <c r="G380" s="5" t="s">
        <v>1052</v>
      </c>
    </row>
    <row r="381" customFormat="false" ht="15" hidden="false" customHeight="false" outlineLevel="0" collapsed="false">
      <c r="A381" s="5" t="s">
        <v>109</v>
      </c>
      <c r="B381" s="5" t="s">
        <v>90</v>
      </c>
      <c r="C381" s="5" t="s">
        <v>586</v>
      </c>
      <c r="D381" s="5" t="s">
        <v>577</v>
      </c>
      <c r="E381" s="5" t="s">
        <v>538</v>
      </c>
      <c r="F381" s="5" t="s">
        <v>1051</v>
      </c>
      <c r="G381" s="5" t="s">
        <v>1052</v>
      </c>
    </row>
    <row r="382" customFormat="false" ht="15" hidden="false" customHeight="false" outlineLevel="0" collapsed="false">
      <c r="A382" s="5" t="s">
        <v>109</v>
      </c>
      <c r="B382" s="5" t="s">
        <v>90</v>
      </c>
      <c r="C382" s="5" t="s">
        <v>587</v>
      </c>
      <c r="D382" s="5" t="s">
        <v>577</v>
      </c>
      <c r="E382" s="5" t="s">
        <v>540</v>
      </c>
      <c r="F382" s="5" t="s">
        <v>1051</v>
      </c>
      <c r="G382" s="5" t="s">
        <v>1052</v>
      </c>
    </row>
    <row r="383" customFormat="false" ht="15" hidden="false" customHeight="false" outlineLevel="0" collapsed="false">
      <c r="A383" s="5" t="s">
        <v>109</v>
      </c>
      <c r="B383" s="5" t="s">
        <v>90</v>
      </c>
      <c r="C383" s="5" t="s">
        <v>588</v>
      </c>
      <c r="D383" s="5" t="s">
        <v>577</v>
      </c>
      <c r="E383" s="5" t="s">
        <v>114</v>
      </c>
      <c r="F383" s="5" t="s">
        <v>1055</v>
      </c>
      <c r="G383" s="5" t="s">
        <v>1052</v>
      </c>
    </row>
    <row r="384" customFormat="false" ht="15" hidden="false" customHeight="false" outlineLevel="0" collapsed="false">
      <c r="A384" s="5" t="s">
        <v>109</v>
      </c>
      <c r="B384" s="5" t="s">
        <v>90</v>
      </c>
      <c r="C384" s="5" t="s">
        <v>589</v>
      </c>
      <c r="D384" s="5" t="s">
        <v>577</v>
      </c>
      <c r="E384" s="5" t="s">
        <v>116</v>
      </c>
      <c r="F384" s="5" t="s">
        <v>1055</v>
      </c>
      <c r="G384" s="5" t="s">
        <v>1052</v>
      </c>
    </row>
    <row r="385" customFormat="false" ht="15" hidden="false" customHeight="false" outlineLevel="0" collapsed="false">
      <c r="A385" s="5" t="s">
        <v>109</v>
      </c>
      <c r="B385" s="5" t="s">
        <v>90</v>
      </c>
      <c r="C385" s="5" t="s">
        <v>590</v>
      </c>
      <c r="D385" s="5" t="s">
        <v>577</v>
      </c>
      <c r="E385" s="5" t="s">
        <v>544</v>
      </c>
      <c r="F385" s="5" t="s">
        <v>1055</v>
      </c>
      <c r="G385" s="5" t="s">
        <v>1052</v>
      </c>
    </row>
    <row r="386" customFormat="false" ht="15" hidden="false" customHeight="false" outlineLevel="0" collapsed="false">
      <c r="A386" s="5" t="s">
        <v>109</v>
      </c>
      <c r="B386" s="5" t="s">
        <v>90</v>
      </c>
      <c r="C386" s="5" t="s">
        <v>591</v>
      </c>
      <c r="D386" s="5" t="s">
        <v>577</v>
      </c>
      <c r="E386" s="5" t="s">
        <v>546</v>
      </c>
      <c r="F386" s="5" t="s">
        <v>1055</v>
      </c>
      <c r="G386" s="5" t="s">
        <v>1052</v>
      </c>
    </row>
    <row r="387" customFormat="false" ht="15" hidden="false" customHeight="false" outlineLevel="0" collapsed="false">
      <c r="A387" s="5" t="s">
        <v>109</v>
      </c>
      <c r="B387" s="5" t="s">
        <v>90</v>
      </c>
      <c r="C387" s="5" t="s">
        <v>592</v>
      </c>
      <c r="D387" s="5" t="s">
        <v>577</v>
      </c>
      <c r="E387" s="5" t="s">
        <v>548</v>
      </c>
      <c r="F387" s="5" t="s">
        <v>1055</v>
      </c>
      <c r="G387" s="5" t="s">
        <v>1052</v>
      </c>
    </row>
    <row r="388" customFormat="false" ht="15" hidden="false" customHeight="false" outlineLevel="0" collapsed="false">
      <c r="A388" s="5" t="s">
        <v>109</v>
      </c>
      <c r="B388" s="5" t="s">
        <v>90</v>
      </c>
      <c r="C388" s="5" t="s">
        <v>593</v>
      </c>
      <c r="D388" s="5" t="s">
        <v>577</v>
      </c>
      <c r="E388" s="5" t="s">
        <v>550</v>
      </c>
      <c r="F388" s="5" t="s">
        <v>1055</v>
      </c>
      <c r="G388" s="5" t="s">
        <v>1052</v>
      </c>
    </row>
    <row r="389" customFormat="false" ht="15" hidden="false" customHeight="false" outlineLevel="0" collapsed="false">
      <c r="A389" s="5" t="s">
        <v>109</v>
      </c>
      <c r="B389" s="5" t="s">
        <v>90</v>
      </c>
      <c r="C389" s="5" t="s">
        <v>594</v>
      </c>
      <c r="D389" s="5" t="s">
        <v>577</v>
      </c>
      <c r="E389" s="5" t="s">
        <v>118</v>
      </c>
      <c r="F389" s="5" t="s">
        <v>1055</v>
      </c>
      <c r="G389" s="5" t="s">
        <v>1052</v>
      </c>
    </row>
    <row r="390" customFormat="false" ht="15" hidden="false" customHeight="false" outlineLevel="0" collapsed="false">
      <c r="A390" s="5" t="s">
        <v>109</v>
      </c>
      <c r="B390" s="5" t="s">
        <v>90</v>
      </c>
      <c r="C390" s="5" t="s">
        <v>595</v>
      </c>
      <c r="D390" s="5" t="s">
        <v>577</v>
      </c>
      <c r="E390" s="5" t="s">
        <v>120</v>
      </c>
      <c r="F390" s="5" t="s">
        <v>1055</v>
      </c>
      <c r="G390" s="5" t="s">
        <v>1052</v>
      </c>
    </row>
    <row r="391" customFormat="false" ht="15" hidden="false" customHeight="false" outlineLevel="0" collapsed="false">
      <c r="A391" s="5" t="s">
        <v>109</v>
      </c>
      <c r="B391" s="5" t="s">
        <v>90</v>
      </c>
      <c r="C391" s="5" t="s">
        <v>596</v>
      </c>
      <c r="D391" s="5" t="s">
        <v>577</v>
      </c>
      <c r="E391" s="5" t="s">
        <v>554</v>
      </c>
      <c r="F391" s="5" t="s">
        <v>1055</v>
      </c>
      <c r="G391" s="5" t="s">
        <v>1052</v>
      </c>
    </row>
    <row r="392" customFormat="false" ht="15" hidden="false" customHeight="false" outlineLevel="0" collapsed="false">
      <c r="A392" s="5" t="s">
        <v>109</v>
      </c>
      <c r="B392" s="5" t="s">
        <v>90</v>
      </c>
      <c r="C392" s="5" t="s">
        <v>597</v>
      </c>
      <c r="D392" s="5" t="s">
        <v>111</v>
      </c>
      <c r="E392" s="5" t="s">
        <v>522</v>
      </c>
      <c r="F392" s="5" t="s">
        <v>1051</v>
      </c>
      <c r="G392" s="5" t="s">
        <v>1052</v>
      </c>
    </row>
    <row r="393" customFormat="false" ht="15" hidden="false" customHeight="false" outlineLevel="0" collapsed="false">
      <c r="A393" s="5" t="s">
        <v>109</v>
      </c>
      <c r="B393" s="5" t="s">
        <v>90</v>
      </c>
      <c r="C393" s="5" t="s">
        <v>598</v>
      </c>
      <c r="D393" s="5" t="s">
        <v>111</v>
      </c>
      <c r="E393" s="5" t="s">
        <v>524</v>
      </c>
      <c r="F393" s="5" t="s">
        <v>1051</v>
      </c>
      <c r="G393" s="5" t="s">
        <v>1052</v>
      </c>
    </row>
    <row r="394" customFormat="false" ht="15" hidden="false" customHeight="false" outlineLevel="0" collapsed="false">
      <c r="A394" s="5" t="s">
        <v>109</v>
      </c>
      <c r="B394" s="5" t="s">
        <v>90</v>
      </c>
      <c r="C394" s="5" t="s">
        <v>599</v>
      </c>
      <c r="D394" s="5" t="s">
        <v>111</v>
      </c>
      <c r="E394" s="5" t="s">
        <v>526</v>
      </c>
      <c r="F394" s="5" t="s">
        <v>1051</v>
      </c>
      <c r="G394" s="5" t="s">
        <v>1052</v>
      </c>
    </row>
    <row r="395" customFormat="false" ht="15" hidden="false" customHeight="false" outlineLevel="0" collapsed="false">
      <c r="A395" s="5" t="s">
        <v>109</v>
      </c>
      <c r="B395" s="5" t="s">
        <v>90</v>
      </c>
      <c r="C395" s="5" t="s">
        <v>600</v>
      </c>
      <c r="D395" s="5" t="s">
        <v>111</v>
      </c>
      <c r="E395" s="5" t="s">
        <v>528</v>
      </c>
      <c r="F395" s="5" t="s">
        <v>1051</v>
      </c>
      <c r="G395" s="5" t="s">
        <v>1052</v>
      </c>
    </row>
    <row r="396" customFormat="false" ht="15" hidden="false" customHeight="false" outlineLevel="0" collapsed="false">
      <c r="A396" s="5" t="s">
        <v>109</v>
      </c>
      <c r="B396" s="5" t="s">
        <v>90</v>
      </c>
      <c r="C396" s="5" t="s">
        <v>601</v>
      </c>
      <c r="D396" s="5" t="s">
        <v>111</v>
      </c>
      <c r="E396" s="5" t="s">
        <v>530</v>
      </c>
      <c r="F396" s="5" t="s">
        <v>1051</v>
      </c>
      <c r="G396" s="5" t="s">
        <v>1052</v>
      </c>
    </row>
    <row r="397" customFormat="false" ht="15" hidden="false" customHeight="false" outlineLevel="0" collapsed="false">
      <c r="A397" s="5" t="s">
        <v>109</v>
      </c>
      <c r="B397" s="5" t="s">
        <v>90</v>
      </c>
      <c r="C397" s="5" t="s">
        <v>110</v>
      </c>
      <c r="D397" s="5" t="s">
        <v>111</v>
      </c>
      <c r="E397" s="5" t="s">
        <v>112</v>
      </c>
      <c r="F397" s="5" t="s">
        <v>1051</v>
      </c>
      <c r="G397" s="5" t="s">
        <v>1052</v>
      </c>
    </row>
    <row r="398" customFormat="false" ht="15" hidden="false" customHeight="false" outlineLevel="0" collapsed="false">
      <c r="A398" s="5" t="s">
        <v>109</v>
      </c>
      <c r="B398" s="5" t="s">
        <v>90</v>
      </c>
      <c r="C398" s="5" t="s">
        <v>602</v>
      </c>
      <c r="D398" s="5" t="s">
        <v>111</v>
      </c>
      <c r="E398" s="5" t="s">
        <v>533</v>
      </c>
      <c r="F398" s="5" t="s">
        <v>1051</v>
      </c>
      <c r="G398" s="5" t="s">
        <v>1052</v>
      </c>
    </row>
    <row r="399" customFormat="false" ht="15" hidden="false" customHeight="false" outlineLevel="0" collapsed="false">
      <c r="A399" s="5" t="s">
        <v>109</v>
      </c>
      <c r="B399" s="5" t="s">
        <v>90</v>
      </c>
      <c r="C399" s="5" t="s">
        <v>603</v>
      </c>
      <c r="D399" s="5" t="s">
        <v>111</v>
      </c>
      <c r="E399" s="5" t="s">
        <v>123</v>
      </c>
      <c r="F399" s="5" t="s">
        <v>1051</v>
      </c>
      <c r="G399" s="5" t="s">
        <v>1052</v>
      </c>
    </row>
    <row r="400" customFormat="false" ht="15" hidden="false" customHeight="false" outlineLevel="0" collapsed="false">
      <c r="A400" s="5" t="s">
        <v>109</v>
      </c>
      <c r="B400" s="5" t="s">
        <v>90</v>
      </c>
      <c r="C400" s="5" t="s">
        <v>604</v>
      </c>
      <c r="D400" s="5" t="s">
        <v>111</v>
      </c>
      <c r="E400" s="5" t="s">
        <v>536</v>
      </c>
      <c r="F400" s="5" t="s">
        <v>1051</v>
      </c>
      <c r="G400" s="5" t="s">
        <v>1052</v>
      </c>
    </row>
    <row r="401" customFormat="false" ht="15" hidden="false" customHeight="false" outlineLevel="0" collapsed="false">
      <c r="A401" s="5" t="s">
        <v>109</v>
      </c>
      <c r="B401" s="5" t="s">
        <v>90</v>
      </c>
      <c r="C401" s="5" t="s">
        <v>605</v>
      </c>
      <c r="D401" s="5" t="s">
        <v>111</v>
      </c>
      <c r="E401" s="5" t="s">
        <v>538</v>
      </c>
      <c r="F401" s="5" t="s">
        <v>1051</v>
      </c>
      <c r="G401" s="5" t="s">
        <v>1052</v>
      </c>
    </row>
    <row r="402" customFormat="false" ht="15" hidden="false" customHeight="false" outlineLevel="0" collapsed="false">
      <c r="A402" s="5" t="s">
        <v>109</v>
      </c>
      <c r="B402" s="5" t="s">
        <v>90</v>
      </c>
      <c r="C402" s="5" t="s">
        <v>606</v>
      </c>
      <c r="D402" s="5" t="s">
        <v>111</v>
      </c>
      <c r="E402" s="5" t="s">
        <v>540</v>
      </c>
      <c r="F402" s="5" t="s">
        <v>1051</v>
      </c>
      <c r="G402" s="5" t="s">
        <v>1052</v>
      </c>
    </row>
    <row r="403" customFormat="false" ht="15" hidden="false" customHeight="false" outlineLevel="0" collapsed="false">
      <c r="A403" s="5" t="s">
        <v>109</v>
      </c>
      <c r="B403" s="5" t="s">
        <v>90</v>
      </c>
      <c r="C403" s="5" t="s">
        <v>113</v>
      </c>
      <c r="D403" s="5" t="s">
        <v>111</v>
      </c>
      <c r="E403" s="5" t="s">
        <v>114</v>
      </c>
      <c r="F403" s="5" t="s">
        <v>1055</v>
      </c>
      <c r="G403" s="5" t="s">
        <v>1052</v>
      </c>
    </row>
    <row r="404" customFormat="false" ht="15" hidden="false" customHeight="false" outlineLevel="0" collapsed="false">
      <c r="A404" s="5" t="s">
        <v>109</v>
      </c>
      <c r="B404" s="5" t="s">
        <v>90</v>
      </c>
      <c r="C404" s="5" t="s">
        <v>115</v>
      </c>
      <c r="D404" s="5" t="s">
        <v>111</v>
      </c>
      <c r="E404" s="5" t="s">
        <v>116</v>
      </c>
      <c r="F404" s="5" t="s">
        <v>1055</v>
      </c>
      <c r="G404" s="5" t="s">
        <v>1052</v>
      </c>
    </row>
    <row r="405" customFormat="false" ht="15" hidden="false" customHeight="false" outlineLevel="0" collapsed="false">
      <c r="A405" s="5" t="s">
        <v>109</v>
      </c>
      <c r="B405" s="5" t="s">
        <v>90</v>
      </c>
      <c r="C405" s="5" t="s">
        <v>607</v>
      </c>
      <c r="D405" s="5" t="s">
        <v>111</v>
      </c>
      <c r="E405" s="5" t="s">
        <v>544</v>
      </c>
      <c r="F405" s="5" t="s">
        <v>1055</v>
      </c>
      <c r="G405" s="5" t="s">
        <v>1052</v>
      </c>
    </row>
    <row r="406" customFormat="false" ht="15" hidden="false" customHeight="false" outlineLevel="0" collapsed="false">
      <c r="A406" s="5" t="s">
        <v>109</v>
      </c>
      <c r="B406" s="5" t="s">
        <v>90</v>
      </c>
      <c r="C406" s="5" t="s">
        <v>608</v>
      </c>
      <c r="D406" s="5" t="s">
        <v>111</v>
      </c>
      <c r="E406" s="5" t="s">
        <v>546</v>
      </c>
      <c r="F406" s="5" t="s">
        <v>1055</v>
      </c>
      <c r="G406" s="5" t="s">
        <v>1052</v>
      </c>
    </row>
    <row r="407" customFormat="false" ht="15" hidden="false" customHeight="false" outlineLevel="0" collapsed="false">
      <c r="A407" s="5" t="s">
        <v>109</v>
      </c>
      <c r="B407" s="5" t="s">
        <v>90</v>
      </c>
      <c r="C407" s="5" t="s">
        <v>609</v>
      </c>
      <c r="D407" s="5" t="s">
        <v>111</v>
      </c>
      <c r="E407" s="5" t="s">
        <v>548</v>
      </c>
      <c r="F407" s="5" t="s">
        <v>1055</v>
      </c>
      <c r="G407" s="5" t="s">
        <v>1052</v>
      </c>
    </row>
    <row r="408" customFormat="false" ht="15" hidden="false" customHeight="false" outlineLevel="0" collapsed="false">
      <c r="A408" s="5" t="s">
        <v>109</v>
      </c>
      <c r="B408" s="5" t="s">
        <v>90</v>
      </c>
      <c r="C408" s="5" t="s">
        <v>610</v>
      </c>
      <c r="D408" s="5" t="s">
        <v>111</v>
      </c>
      <c r="E408" s="5" t="s">
        <v>550</v>
      </c>
      <c r="F408" s="5" t="s">
        <v>1055</v>
      </c>
      <c r="G408" s="5" t="s">
        <v>1052</v>
      </c>
    </row>
    <row r="409" customFormat="false" ht="15" hidden="false" customHeight="false" outlineLevel="0" collapsed="false">
      <c r="A409" s="5" t="s">
        <v>109</v>
      </c>
      <c r="B409" s="5" t="s">
        <v>90</v>
      </c>
      <c r="C409" s="5" t="s">
        <v>117</v>
      </c>
      <c r="D409" s="5" t="s">
        <v>111</v>
      </c>
      <c r="E409" s="5" t="s">
        <v>118</v>
      </c>
      <c r="F409" s="5" t="s">
        <v>1055</v>
      </c>
      <c r="G409" s="5" t="s">
        <v>1052</v>
      </c>
    </row>
    <row r="410" customFormat="false" ht="15" hidden="false" customHeight="false" outlineLevel="0" collapsed="false">
      <c r="A410" s="5" t="s">
        <v>109</v>
      </c>
      <c r="B410" s="5" t="s">
        <v>90</v>
      </c>
      <c r="C410" s="5" t="s">
        <v>119</v>
      </c>
      <c r="D410" s="5" t="s">
        <v>111</v>
      </c>
      <c r="E410" s="5" t="s">
        <v>120</v>
      </c>
      <c r="F410" s="5" t="s">
        <v>1055</v>
      </c>
      <c r="G410" s="5" t="s">
        <v>1052</v>
      </c>
    </row>
    <row r="411" customFormat="false" ht="15" hidden="false" customHeight="false" outlineLevel="0" collapsed="false">
      <c r="A411" s="5" t="s">
        <v>109</v>
      </c>
      <c r="B411" s="5" t="s">
        <v>90</v>
      </c>
      <c r="C411" s="5" t="s">
        <v>611</v>
      </c>
      <c r="D411" s="5" t="s">
        <v>111</v>
      </c>
      <c r="E411" s="5" t="s">
        <v>554</v>
      </c>
      <c r="F411" s="5" t="s">
        <v>1055</v>
      </c>
      <c r="G411" s="5" t="s">
        <v>1052</v>
      </c>
    </row>
    <row r="412" customFormat="false" ht="15" hidden="false" customHeight="false" outlineLevel="0" collapsed="false">
      <c r="A412" s="5" t="s">
        <v>109</v>
      </c>
      <c r="B412" s="5" t="s">
        <v>90</v>
      </c>
      <c r="C412" s="5" t="s">
        <v>612</v>
      </c>
      <c r="D412" s="5" t="s">
        <v>613</v>
      </c>
      <c r="E412" s="5" t="s">
        <v>522</v>
      </c>
      <c r="F412" s="5" t="s">
        <v>1051</v>
      </c>
      <c r="G412" s="5" t="s">
        <v>1052</v>
      </c>
    </row>
    <row r="413" customFormat="false" ht="15" hidden="false" customHeight="false" outlineLevel="0" collapsed="false">
      <c r="A413" s="5" t="s">
        <v>109</v>
      </c>
      <c r="B413" s="5" t="s">
        <v>90</v>
      </c>
      <c r="C413" s="5" t="s">
        <v>614</v>
      </c>
      <c r="D413" s="5" t="s">
        <v>613</v>
      </c>
      <c r="E413" s="5" t="s">
        <v>524</v>
      </c>
      <c r="F413" s="5" t="s">
        <v>1051</v>
      </c>
      <c r="G413" s="5" t="s">
        <v>1052</v>
      </c>
    </row>
    <row r="414" customFormat="false" ht="15" hidden="false" customHeight="false" outlineLevel="0" collapsed="false">
      <c r="A414" s="5" t="s">
        <v>109</v>
      </c>
      <c r="B414" s="5" t="s">
        <v>90</v>
      </c>
      <c r="C414" s="5" t="s">
        <v>615</v>
      </c>
      <c r="D414" s="5" t="s">
        <v>613</v>
      </c>
      <c r="E414" s="5" t="s">
        <v>526</v>
      </c>
      <c r="F414" s="5" t="s">
        <v>1051</v>
      </c>
      <c r="G414" s="5" t="s">
        <v>1052</v>
      </c>
    </row>
    <row r="415" customFormat="false" ht="15" hidden="false" customHeight="false" outlineLevel="0" collapsed="false">
      <c r="A415" s="5" t="s">
        <v>109</v>
      </c>
      <c r="B415" s="5" t="s">
        <v>90</v>
      </c>
      <c r="C415" s="5" t="s">
        <v>616</v>
      </c>
      <c r="D415" s="5" t="s">
        <v>613</v>
      </c>
      <c r="E415" s="5" t="s">
        <v>528</v>
      </c>
      <c r="F415" s="5" t="s">
        <v>1051</v>
      </c>
      <c r="G415" s="5" t="s">
        <v>1052</v>
      </c>
    </row>
    <row r="416" customFormat="false" ht="15" hidden="false" customHeight="false" outlineLevel="0" collapsed="false">
      <c r="A416" s="5" t="s">
        <v>109</v>
      </c>
      <c r="B416" s="5" t="s">
        <v>90</v>
      </c>
      <c r="C416" s="5" t="s">
        <v>617</v>
      </c>
      <c r="D416" s="5" t="s">
        <v>613</v>
      </c>
      <c r="E416" s="5" t="s">
        <v>530</v>
      </c>
      <c r="F416" s="5" t="s">
        <v>1051</v>
      </c>
      <c r="G416" s="5" t="s">
        <v>1052</v>
      </c>
    </row>
    <row r="417" customFormat="false" ht="15" hidden="false" customHeight="false" outlineLevel="0" collapsed="false">
      <c r="A417" s="5" t="s">
        <v>109</v>
      </c>
      <c r="B417" s="5" t="s">
        <v>90</v>
      </c>
      <c r="C417" s="5" t="s">
        <v>618</v>
      </c>
      <c r="D417" s="5" t="s">
        <v>613</v>
      </c>
      <c r="E417" s="5" t="s">
        <v>112</v>
      </c>
      <c r="F417" s="5" t="s">
        <v>1051</v>
      </c>
      <c r="G417" s="5" t="s">
        <v>1052</v>
      </c>
    </row>
    <row r="418" customFormat="false" ht="15" hidden="false" customHeight="false" outlineLevel="0" collapsed="false">
      <c r="A418" s="5" t="s">
        <v>109</v>
      </c>
      <c r="B418" s="5" t="s">
        <v>90</v>
      </c>
      <c r="C418" s="5" t="s">
        <v>619</v>
      </c>
      <c r="D418" s="5" t="s">
        <v>613</v>
      </c>
      <c r="E418" s="5" t="s">
        <v>533</v>
      </c>
      <c r="F418" s="5" t="s">
        <v>1051</v>
      </c>
      <c r="G418" s="5" t="s">
        <v>1052</v>
      </c>
    </row>
    <row r="419" customFormat="false" ht="15" hidden="false" customHeight="false" outlineLevel="0" collapsed="false">
      <c r="A419" s="5" t="s">
        <v>109</v>
      </c>
      <c r="B419" s="5" t="s">
        <v>90</v>
      </c>
      <c r="C419" s="5" t="s">
        <v>620</v>
      </c>
      <c r="D419" s="5" t="s">
        <v>613</v>
      </c>
      <c r="E419" s="5" t="s">
        <v>123</v>
      </c>
      <c r="F419" s="5" t="s">
        <v>1051</v>
      </c>
      <c r="G419" s="5" t="s">
        <v>1052</v>
      </c>
    </row>
    <row r="420" customFormat="false" ht="15" hidden="false" customHeight="false" outlineLevel="0" collapsed="false">
      <c r="A420" s="5" t="s">
        <v>109</v>
      </c>
      <c r="B420" s="5" t="s">
        <v>90</v>
      </c>
      <c r="C420" s="5" t="s">
        <v>621</v>
      </c>
      <c r="D420" s="5" t="s">
        <v>613</v>
      </c>
      <c r="E420" s="5" t="s">
        <v>536</v>
      </c>
      <c r="F420" s="5" t="s">
        <v>1051</v>
      </c>
      <c r="G420" s="5" t="s">
        <v>1052</v>
      </c>
    </row>
    <row r="421" customFormat="false" ht="15" hidden="false" customHeight="false" outlineLevel="0" collapsed="false">
      <c r="A421" s="5" t="s">
        <v>109</v>
      </c>
      <c r="B421" s="5" t="s">
        <v>90</v>
      </c>
      <c r="C421" s="5" t="s">
        <v>622</v>
      </c>
      <c r="D421" s="5" t="s">
        <v>613</v>
      </c>
      <c r="E421" s="5" t="s">
        <v>538</v>
      </c>
      <c r="F421" s="5" t="s">
        <v>1051</v>
      </c>
      <c r="G421" s="5" t="s">
        <v>1052</v>
      </c>
    </row>
    <row r="422" customFormat="false" ht="15" hidden="false" customHeight="false" outlineLevel="0" collapsed="false">
      <c r="A422" s="5" t="s">
        <v>109</v>
      </c>
      <c r="B422" s="5" t="s">
        <v>90</v>
      </c>
      <c r="C422" s="5" t="s">
        <v>623</v>
      </c>
      <c r="D422" s="5" t="s">
        <v>613</v>
      </c>
      <c r="E422" s="5" t="s">
        <v>540</v>
      </c>
      <c r="F422" s="5" t="s">
        <v>1051</v>
      </c>
      <c r="G422" s="5" t="s">
        <v>1052</v>
      </c>
    </row>
    <row r="423" customFormat="false" ht="15" hidden="false" customHeight="false" outlineLevel="0" collapsed="false">
      <c r="A423" s="5" t="s">
        <v>109</v>
      </c>
      <c r="B423" s="5" t="s">
        <v>90</v>
      </c>
      <c r="C423" s="5" t="s">
        <v>624</v>
      </c>
      <c r="D423" s="5" t="s">
        <v>613</v>
      </c>
      <c r="E423" s="5" t="s">
        <v>114</v>
      </c>
      <c r="F423" s="5" t="s">
        <v>1055</v>
      </c>
      <c r="G423" s="5" t="s">
        <v>1052</v>
      </c>
    </row>
    <row r="424" customFormat="false" ht="15" hidden="false" customHeight="false" outlineLevel="0" collapsed="false">
      <c r="A424" s="5" t="s">
        <v>109</v>
      </c>
      <c r="B424" s="5" t="s">
        <v>90</v>
      </c>
      <c r="C424" s="5" t="s">
        <v>625</v>
      </c>
      <c r="D424" s="5" t="s">
        <v>613</v>
      </c>
      <c r="E424" s="5" t="s">
        <v>116</v>
      </c>
      <c r="F424" s="5" t="s">
        <v>1055</v>
      </c>
      <c r="G424" s="5" t="s">
        <v>1052</v>
      </c>
    </row>
    <row r="425" customFormat="false" ht="15" hidden="false" customHeight="false" outlineLevel="0" collapsed="false">
      <c r="A425" s="5" t="s">
        <v>109</v>
      </c>
      <c r="B425" s="5" t="s">
        <v>90</v>
      </c>
      <c r="C425" s="5" t="s">
        <v>626</v>
      </c>
      <c r="D425" s="5" t="s">
        <v>613</v>
      </c>
      <c r="E425" s="5" t="s">
        <v>544</v>
      </c>
      <c r="F425" s="5" t="s">
        <v>1055</v>
      </c>
      <c r="G425" s="5" t="s">
        <v>1052</v>
      </c>
    </row>
    <row r="426" customFormat="false" ht="15" hidden="false" customHeight="false" outlineLevel="0" collapsed="false">
      <c r="A426" s="5" t="s">
        <v>109</v>
      </c>
      <c r="B426" s="5" t="s">
        <v>90</v>
      </c>
      <c r="C426" s="5" t="s">
        <v>627</v>
      </c>
      <c r="D426" s="5" t="s">
        <v>613</v>
      </c>
      <c r="E426" s="5" t="s">
        <v>546</v>
      </c>
      <c r="F426" s="5" t="s">
        <v>1055</v>
      </c>
      <c r="G426" s="5" t="s">
        <v>1052</v>
      </c>
    </row>
    <row r="427" customFormat="false" ht="15" hidden="false" customHeight="false" outlineLevel="0" collapsed="false">
      <c r="A427" s="5" t="s">
        <v>109</v>
      </c>
      <c r="B427" s="5" t="s">
        <v>90</v>
      </c>
      <c r="C427" s="5" t="s">
        <v>628</v>
      </c>
      <c r="D427" s="5" t="s">
        <v>613</v>
      </c>
      <c r="E427" s="5" t="s">
        <v>548</v>
      </c>
      <c r="F427" s="5" t="s">
        <v>1055</v>
      </c>
      <c r="G427" s="5" t="s">
        <v>1052</v>
      </c>
    </row>
    <row r="428" customFormat="false" ht="15" hidden="false" customHeight="false" outlineLevel="0" collapsed="false">
      <c r="A428" s="5" t="s">
        <v>109</v>
      </c>
      <c r="B428" s="5" t="s">
        <v>90</v>
      </c>
      <c r="C428" s="5" t="s">
        <v>629</v>
      </c>
      <c r="D428" s="5" t="s">
        <v>613</v>
      </c>
      <c r="E428" s="5" t="s">
        <v>550</v>
      </c>
      <c r="F428" s="5" t="s">
        <v>1055</v>
      </c>
      <c r="G428" s="5" t="s">
        <v>1052</v>
      </c>
    </row>
    <row r="429" customFormat="false" ht="15" hidden="false" customHeight="false" outlineLevel="0" collapsed="false">
      <c r="A429" s="5" t="s">
        <v>109</v>
      </c>
      <c r="B429" s="5" t="s">
        <v>90</v>
      </c>
      <c r="C429" s="5" t="s">
        <v>630</v>
      </c>
      <c r="D429" s="5" t="s">
        <v>613</v>
      </c>
      <c r="E429" s="5" t="s">
        <v>118</v>
      </c>
      <c r="F429" s="5" t="s">
        <v>1055</v>
      </c>
      <c r="G429" s="5" t="s">
        <v>1052</v>
      </c>
    </row>
    <row r="430" customFormat="false" ht="15" hidden="false" customHeight="false" outlineLevel="0" collapsed="false">
      <c r="A430" s="5" t="s">
        <v>109</v>
      </c>
      <c r="B430" s="5" t="s">
        <v>90</v>
      </c>
      <c r="C430" s="5" t="s">
        <v>631</v>
      </c>
      <c r="D430" s="5" t="s">
        <v>613</v>
      </c>
      <c r="E430" s="5" t="s">
        <v>120</v>
      </c>
      <c r="F430" s="5" t="s">
        <v>1055</v>
      </c>
      <c r="G430" s="5" t="s">
        <v>1052</v>
      </c>
    </row>
    <row r="431" customFormat="false" ht="15" hidden="false" customHeight="false" outlineLevel="0" collapsed="false">
      <c r="A431" s="5" t="s">
        <v>109</v>
      </c>
      <c r="B431" s="5" t="s">
        <v>90</v>
      </c>
      <c r="C431" s="5" t="s">
        <v>632</v>
      </c>
      <c r="D431" s="5" t="s">
        <v>613</v>
      </c>
      <c r="E431" s="5" t="s">
        <v>554</v>
      </c>
      <c r="F431" s="5" t="s">
        <v>1055</v>
      </c>
      <c r="G431" s="5" t="s">
        <v>1052</v>
      </c>
    </row>
    <row r="432" customFormat="false" ht="15" hidden="false" customHeight="false" outlineLevel="0" collapsed="false">
      <c r="A432" s="5" t="s">
        <v>109</v>
      </c>
      <c r="B432" s="5" t="s">
        <v>90</v>
      </c>
      <c r="C432" s="5" t="s">
        <v>633</v>
      </c>
      <c r="D432" s="5" t="s">
        <v>122</v>
      </c>
      <c r="E432" s="5" t="s">
        <v>522</v>
      </c>
      <c r="F432" s="5" t="s">
        <v>1051</v>
      </c>
      <c r="G432" s="5" t="s">
        <v>1052</v>
      </c>
    </row>
    <row r="433" customFormat="false" ht="15" hidden="false" customHeight="false" outlineLevel="0" collapsed="false">
      <c r="A433" s="5" t="s">
        <v>109</v>
      </c>
      <c r="B433" s="5" t="s">
        <v>90</v>
      </c>
      <c r="C433" s="5" t="s">
        <v>634</v>
      </c>
      <c r="D433" s="5" t="s">
        <v>122</v>
      </c>
      <c r="E433" s="5" t="s">
        <v>524</v>
      </c>
      <c r="F433" s="5" t="s">
        <v>1051</v>
      </c>
      <c r="G433" s="5" t="s">
        <v>1052</v>
      </c>
    </row>
    <row r="434" customFormat="false" ht="15" hidden="false" customHeight="false" outlineLevel="0" collapsed="false">
      <c r="A434" s="5" t="s">
        <v>109</v>
      </c>
      <c r="B434" s="5" t="s">
        <v>90</v>
      </c>
      <c r="C434" s="5" t="s">
        <v>635</v>
      </c>
      <c r="D434" s="5" t="s">
        <v>122</v>
      </c>
      <c r="E434" s="5" t="s">
        <v>526</v>
      </c>
      <c r="F434" s="5" t="s">
        <v>1051</v>
      </c>
      <c r="G434" s="5" t="s">
        <v>1052</v>
      </c>
    </row>
    <row r="435" customFormat="false" ht="15" hidden="false" customHeight="false" outlineLevel="0" collapsed="false">
      <c r="A435" s="5" t="s">
        <v>109</v>
      </c>
      <c r="B435" s="5" t="s">
        <v>90</v>
      </c>
      <c r="C435" s="5" t="s">
        <v>636</v>
      </c>
      <c r="D435" s="5" t="s">
        <v>122</v>
      </c>
      <c r="E435" s="5" t="s">
        <v>528</v>
      </c>
      <c r="F435" s="5" t="s">
        <v>1051</v>
      </c>
      <c r="G435" s="5" t="s">
        <v>1052</v>
      </c>
    </row>
    <row r="436" customFormat="false" ht="15" hidden="false" customHeight="false" outlineLevel="0" collapsed="false">
      <c r="A436" s="5" t="s">
        <v>109</v>
      </c>
      <c r="B436" s="5" t="s">
        <v>90</v>
      </c>
      <c r="C436" s="5" t="s">
        <v>637</v>
      </c>
      <c r="D436" s="5" t="s">
        <v>122</v>
      </c>
      <c r="E436" s="5" t="s">
        <v>530</v>
      </c>
      <c r="F436" s="5" t="s">
        <v>1051</v>
      </c>
      <c r="G436" s="5" t="s">
        <v>1052</v>
      </c>
    </row>
    <row r="437" customFormat="false" ht="15" hidden="false" customHeight="false" outlineLevel="0" collapsed="false">
      <c r="A437" s="5" t="s">
        <v>109</v>
      </c>
      <c r="B437" s="5" t="s">
        <v>90</v>
      </c>
      <c r="C437" s="5" t="s">
        <v>638</v>
      </c>
      <c r="D437" s="5" t="s">
        <v>122</v>
      </c>
      <c r="E437" s="5" t="s">
        <v>112</v>
      </c>
      <c r="F437" s="5" t="s">
        <v>1051</v>
      </c>
      <c r="G437" s="5" t="s">
        <v>1052</v>
      </c>
    </row>
    <row r="438" customFormat="false" ht="15" hidden="false" customHeight="false" outlineLevel="0" collapsed="false">
      <c r="A438" s="5" t="s">
        <v>109</v>
      </c>
      <c r="B438" s="5" t="s">
        <v>90</v>
      </c>
      <c r="C438" s="5" t="s">
        <v>639</v>
      </c>
      <c r="D438" s="5" t="s">
        <v>122</v>
      </c>
      <c r="E438" s="5" t="s">
        <v>533</v>
      </c>
      <c r="F438" s="5" t="s">
        <v>1051</v>
      </c>
      <c r="G438" s="5" t="s">
        <v>1052</v>
      </c>
    </row>
    <row r="439" customFormat="false" ht="15" hidden="false" customHeight="false" outlineLevel="0" collapsed="false">
      <c r="A439" s="5" t="s">
        <v>109</v>
      </c>
      <c r="B439" s="5" t="s">
        <v>90</v>
      </c>
      <c r="C439" s="5" t="s">
        <v>121</v>
      </c>
      <c r="D439" s="5" t="s">
        <v>122</v>
      </c>
      <c r="E439" s="5" t="s">
        <v>123</v>
      </c>
      <c r="F439" s="5" t="s">
        <v>1051</v>
      </c>
      <c r="G439" s="5" t="s">
        <v>1052</v>
      </c>
    </row>
    <row r="440" customFormat="false" ht="15" hidden="false" customHeight="false" outlineLevel="0" collapsed="false">
      <c r="A440" s="5" t="s">
        <v>109</v>
      </c>
      <c r="B440" s="5" t="s">
        <v>90</v>
      </c>
      <c r="C440" s="5" t="s">
        <v>640</v>
      </c>
      <c r="D440" s="5" t="s">
        <v>122</v>
      </c>
      <c r="E440" s="5" t="s">
        <v>536</v>
      </c>
      <c r="F440" s="5" t="s">
        <v>1051</v>
      </c>
      <c r="G440" s="5" t="s">
        <v>1052</v>
      </c>
    </row>
    <row r="441" customFormat="false" ht="15" hidden="false" customHeight="false" outlineLevel="0" collapsed="false">
      <c r="A441" s="5" t="s">
        <v>109</v>
      </c>
      <c r="B441" s="5" t="s">
        <v>90</v>
      </c>
      <c r="C441" s="5" t="s">
        <v>641</v>
      </c>
      <c r="D441" s="5" t="s">
        <v>122</v>
      </c>
      <c r="E441" s="5" t="s">
        <v>538</v>
      </c>
      <c r="F441" s="5" t="s">
        <v>1051</v>
      </c>
      <c r="G441" s="5" t="s">
        <v>1052</v>
      </c>
    </row>
    <row r="442" customFormat="false" ht="15" hidden="false" customHeight="false" outlineLevel="0" collapsed="false">
      <c r="A442" s="5" t="s">
        <v>109</v>
      </c>
      <c r="B442" s="5" t="s">
        <v>90</v>
      </c>
      <c r="C442" s="5" t="s">
        <v>642</v>
      </c>
      <c r="D442" s="5" t="s">
        <v>122</v>
      </c>
      <c r="E442" s="5" t="s">
        <v>540</v>
      </c>
      <c r="F442" s="5" t="s">
        <v>1051</v>
      </c>
      <c r="G442" s="5" t="s">
        <v>1052</v>
      </c>
    </row>
    <row r="443" customFormat="false" ht="15" hidden="false" customHeight="false" outlineLevel="0" collapsed="false">
      <c r="A443" s="5" t="s">
        <v>109</v>
      </c>
      <c r="B443" s="5" t="s">
        <v>90</v>
      </c>
      <c r="C443" s="5" t="s">
        <v>124</v>
      </c>
      <c r="D443" s="5" t="s">
        <v>122</v>
      </c>
      <c r="E443" s="5" t="s">
        <v>114</v>
      </c>
      <c r="F443" s="5" t="s">
        <v>1055</v>
      </c>
      <c r="G443" s="5" t="s">
        <v>1052</v>
      </c>
    </row>
    <row r="444" customFormat="false" ht="15" hidden="false" customHeight="false" outlineLevel="0" collapsed="false">
      <c r="A444" s="5" t="s">
        <v>109</v>
      </c>
      <c r="B444" s="5" t="s">
        <v>90</v>
      </c>
      <c r="C444" s="5" t="s">
        <v>125</v>
      </c>
      <c r="D444" s="5" t="s">
        <v>122</v>
      </c>
      <c r="E444" s="5" t="s">
        <v>116</v>
      </c>
      <c r="F444" s="5" t="s">
        <v>1055</v>
      </c>
      <c r="G444" s="5" t="s">
        <v>1052</v>
      </c>
    </row>
    <row r="445" customFormat="false" ht="15" hidden="false" customHeight="false" outlineLevel="0" collapsed="false">
      <c r="A445" s="5" t="s">
        <v>109</v>
      </c>
      <c r="B445" s="5" t="s">
        <v>90</v>
      </c>
      <c r="C445" s="5" t="s">
        <v>643</v>
      </c>
      <c r="D445" s="5" t="s">
        <v>122</v>
      </c>
      <c r="E445" s="5" t="s">
        <v>544</v>
      </c>
      <c r="F445" s="5" t="s">
        <v>1055</v>
      </c>
      <c r="G445" s="5" t="s">
        <v>1052</v>
      </c>
    </row>
    <row r="446" customFormat="false" ht="15" hidden="false" customHeight="false" outlineLevel="0" collapsed="false">
      <c r="A446" s="5" t="s">
        <v>109</v>
      </c>
      <c r="B446" s="5" t="s">
        <v>90</v>
      </c>
      <c r="C446" s="5" t="s">
        <v>644</v>
      </c>
      <c r="D446" s="5" t="s">
        <v>122</v>
      </c>
      <c r="E446" s="5" t="s">
        <v>546</v>
      </c>
      <c r="F446" s="5" t="s">
        <v>1055</v>
      </c>
      <c r="G446" s="5" t="s">
        <v>1052</v>
      </c>
    </row>
    <row r="447" customFormat="false" ht="15" hidden="false" customHeight="false" outlineLevel="0" collapsed="false">
      <c r="A447" s="5" t="s">
        <v>109</v>
      </c>
      <c r="B447" s="5" t="s">
        <v>90</v>
      </c>
      <c r="C447" s="5" t="s">
        <v>645</v>
      </c>
      <c r="D447" s="5" t="s">
        <v>122</v>
      </c>
      <c r="E447" s="5" t="s">
        <v>548</v>
      </c>
      <c r="F447" s="5" t="s">
        <v>1055</v>
      </c>
      <c r="G447" s="5" t="s">
        <v>1052</v>
      </c>
    </row>
    <row r="448" customFormat="false" ht="15" hidden="false" customHeight="false" outlineLevel="0" collapsed="false">
      <c r="A448" s="5" t="s">
        <v>109</v>
      </c>
      <c r="B448" s="5" t="s">
        <v>90</v>
      </c>
      <c r="C448" s="5" t="s">
        <v>646</v>
      </c>
      <c r="D448" s="5" t="s">
        <v>122</v>
      </c>
      <c r="E448" s="5" t="s">
        <v>550</v>
      </c>
      <c r="F448" s="5" t="s">
        <v>1055</v>
      </c>
      <c r="G448" s="5" t="s">
        <v>1052</v>
      </c>
    </row>
    <row r="449" customFormat="false" ht="15" hidden="false" customHeight="false" outlineLevel="0" collapsed="false">
      <c r="A449" s="5" t="s">
        <v>109</v>
      </c>
      <c r="B449" s="5" t="s">
        <v>90</v>
      </c>
      <c r="C449" s="5" t="s">
        <v>126</v>
      </c>
      <c r="D449" s="5" t="s">
        <v>122</v>
      </c>
      <c r="E449" s="5" t="s">
        <v>118</v>
      </c>
      <c r="F449" s="5" t="s">
        <v>1055</v>
      </c>
      <c r="G449" s="5" t="s">
        <v>1052</v>
      </c>
    </row>
    <row r="450" customFormat="false" ht="15" hidden="false" customHeight="false" outlineLevel="0" collapsed="false">
      <c r="A450" s="5" t="s">
        <v>109</v>
      </c>
      <c r="B450" s="5" t="s">
        <v>90</v>
      </c>
      <c r="C450" s="5" t="s">
        <v>127</v>
      </c>
      <c r="D450" s="5" t="s">
        <v>122</v>
      </c>
      <c r="E450" s="5" t="s">
        <v>120</v>
      </c>
      <c r="F450" s="5" t="s">
        <v>1055</v>
      </c>
      <c r="G450" s="5" t="s">
        <v>1052</v>
      </c>
    </row>
    <row r="451" customFormat="false" ht="15" hidden="false" customHeight="false" outlineLevel="0" collapsed="false">
      <c r="A451" s="5" t="s">
        <v>109</v>
      </c>
      <c r="B451" s="5" t="s">
        <v>90</v>
      </c>
      <c r="C451" s="5" t="s">
        <v>647</v>
      </c>
      <c r="D451" s="5" t="s">
        <v>122</v>
      </c>
      <c r="E451" s="5" t="s">
        <v>554</v>
      </c>
      <c r="F451" s="5" t="s">
        <v>1055</v>
      </c>
      <c r="G451" s="5" t="s">
        <v>1052</v>
      </c>
    </row>
    <row r="452" customFormat="false" ht="15" hidden="false" customHeight="false" outlineLevel="0" collapsed="false">
      <c r="A452" s="5" t="s">
        <v>109</v>
      </c>
      <c r="B452" s="5" t="s">
        <v>90</v>
      </c>
      <c r="C452" s="5" t="s">
        <v>648</v>
      </c>
      <c r="D452" s="5" t="s">
        <v>649</v>
      </c>
      <c r="E452" s="5" t="s">
        <v>522</v>
      </c>
      <c r="F452" s="5" t="s">
        <v>1051</v>
      </c>
      <c r="G452" s="5" t="s">
        <v>1052</v>
      </c>
    </row>
    <row r="453" customFormat="false" ht="15" hidden="false" customHeight="false" outlineLevel="0" collapsed="false">
      <c r="A453" s="5" t="s">
        <v>109</v>
      </c>
      <c r="B453" s="5" t="s">
        <v>90</v>
      </c>
      <c r="C453" s="5" t="s">
        <v>650</v>
      </c>
      <c r="D453" s="5" t="s">
        <v>649</v>
      </c>
      <c r="E453" s="5" t="s">
        <v>524</v>
      </c>
      <c r="F453" s="5" t="s">
        <v>1051</v>
      </c>
      <c r="G453" s="5" t="s">
        <v>1052</v>
      </c>
    </row>
    <row r="454" customFormat="false" ht="15" hidden="false" customHeight="false" outlineLevel="0" collapsed="false">
      <c r="A454" s="5" t="s">
        <v>109</v>
      </c>
      <c r="B454" s="5" t="s">
        <v>90</v>
      </c>
      <c r="C454" s="5" t="s">
        <v>651</v>
      </c>
      <c r="D454" s="5" t="s">
        <v>649</v>
      </c>
      <c r="E454" s="5" t="s">
        <v>526</v>
      </c>
      <c r="F454" s="5" t="s">
        <v>1051</v>
      </c>
      <c r="G454" s="5" t="s">
        <v>1052</v>
      </c>
    </row>
    <row r="455" customFormat="false" ht="15" hidden="false" customHeight="false" outlineLevel="0" collapsed="false">
      <c r="A455" s="5" t="s">
        <v>109</v>
      </c>
      <c r="B455" s="5" t="s">
        <v>90</v>
      </c>
      <c r="C455" s="5" t="s">
        <v>652</v>
      </c>
      <c r="D455" s="5" t="s">
        <v>649</v>
      </c>
      <c r="E455" s="5" t="s">
        <v>528</v>
      </c>
      <c r="F455" s="5" t="s">
        <v>1051</v>
      </c>
      <c r="G455" s="5" t="s">
        <v>1052</v>
      </c>
    </row>
    <row r="456" customFormat="false" ht="15" hidden="false" customHeight="false" outlineLevel="0" collapsed="false">
      <c r="A456" s="5" t="s">
        <v>109</v>
      </c>
      <c r="B456" s="5" t="s">
        <v>90</v>
      </c>
      <c r="C456" s="5" t="s">
        <v>653</v>
      </c>
      <c r="D456" s="5" t="s">
        <v>649</v>
      </c>
      <c r="E456" s="5" t="s">
        <v>530</v>
      </c>
      <c r="F456" s="5" t="s">
        <v>1051</v>
      </c>
      <c r="G456" s="5" t="s">
        <v>1052</v>
      </c>
    </row>
    <row r="457" customFormat="false" ht="15" hidden="false" customHeight="false" outlineLevel="0" collapsed="false">
      <c r="A457" s="5" t="s">
        <v>109</v>
      </c>
      <c r="B457" s="5" t="s">
        <v>90</v>
      </c>
      <c r="C457" s="5" t="s">
        <v>654</v>
      </c>
      <c r="D457" s="5" t="s">
        <v>649</v>
      </c>
      <c r="E457" s="5" t="s">
        <v>112</v>
      </c>
      <c r="F457" s="5" t="s">
        <v>1051</v>
      </c>
      <c r="G457" s="5" t="s">
        <v>1052</v>
      </c>
    </row>
    <row r="458" customFormat="false" ht="15" hidden="false" customHeight="false" outlineLevel="0" collapsed="false">
      <c r="A458" s="5" t="s">
        <v>109</v>
      </c>
      <c r="B458" s="5" t="s">
        <v>90</v>
      </c>
      <c r="C458" s="5" t="s">
        <v>655</v>
      </c>
      <c r="D458" s="5" t="s">
        <v>649</v>
      </c>
      <c r="E458" s="5" t="s">
        <v>533</v>
      </c>
      <c r="F458" s="5" t="s">
        <v>1051</v>
      </c>
      <c r="G458" s="5" t="s">
        <v>1052</v>
      </c>
    </row>
    <row r="459" customFormat="false" ht="15" hidden="false" customHeight="false" outlineLevel="0" collapsed="false">
      <c r="A459" s="5" t="s">
        <v>109</v>
      </c>
      <c r="B459" s="5" t="s">
        <v>90</v>
      </c>
      <c r="C459" s="5" t="s">
        <v>656</v>
      </c>
      <c r="D459" s="5" t="s">
        <v>649</v>
      </c>
      <c r="E459" s="5" t="s">
        <v>123</v>
      </c>
      <c r="F459" s="5" t="s">
        <v>1051</v>
      </c>
      <c r="G459" s="5" t="s">
        <v>1052</v>
      </c>
    </row>
    <row r="460" customFormat="false" ht="15" hidden="false" customHeight="false" outlineLevel="0" collapsed="false">
      <c r="A460" s="5" t="s">
        <v>109</v>
      </c>
      <c r="B460" s="5" t="s">
        <v>90</v>
      </c>
      <c r="C460" s="5" t="s">
        <v>657</v>
      </c>
      <c r="D460" s="5" t="s">
        <v>649</v>
      </c>
      <c r="E460" s="5" t="s">
        <v>536</v>
      </c>
      <c r="F460" s="5" t="s">
        <v>1051</v>
      </c>
      <c r="G460" s="5" t="s">
        <v>1052</v>
      </c>
    </row>
    <row r="461" customFormat="false" ht="15" hidden="false" customHeight="false" outlineLevel="0" collapsed="false">
      <c r="A461" s="5" t="s">
        <v>109</v>
      </c>
      <c r="B461" s="5" t="s">
        <v>90</v>
      </c>
      <c r="C461" s="5" t="s">
        <v>658</v>
      </c>
      <c r="D461" s="5" t="s">
        <v>649</v>
      </c>
      <c r="E461" s="5" t="s">
        <v>538</v>
      </c>
      <c r="F461" s="5" t="s">
        <v>1051</v>
      </c>
      <c r="G461" s="5" t="s">
        <v>1052</v>
      </c>
    </row>
    <row r="462" customFormat="false" ht="15" hidden="false" customHeight="false" outlineLevel="0" collapsed="false">
      <c r="A462" s="5" t="s">
        <v>109</v>
      </c>
      <c r="B462" s="5" t="s">
        <v>90</v>
      </c>
      <c r="C462" s="5" t="s">
        <v>659</v>
      </c>
      <c r="D462" s="5" t="s">
        <v>649</v>
      </c>
      <c r="E462" s="5" t="s">
        <v>540</v>
      </c>
      <c r="F462" s="5" t="s">
        <v>1051</v>
      </c>
      <c r="G462" s="5" t="s">
        <v>1052</v>
      </c>
    </row>
    <row r="463" customFormat="false" ht="15" hidden="false" customHeight="false" outlineLevel="0" collapsed="false">
      <c r="A463" s="5" t="s">
        <v>109</v>
      </c>
      <c r="B463" s="5" t="s">
        <v>90</v>
      </c>
      <c r="C463" s="5" t="s">
        <v>660</v>
      </c>
      <c r="D463" s="5" t="s">
        <v>649</v>
      </c>
      <c r="E463" s="5" t="s">
        <v>114</v>
      </c>
      <c r="F463" s="5" t="s">
        <v>1055</v>
      </c>
      <c r="G463" s="5" t="s">
        <v>1052</v>
      </c>
    </row>
    <row r="464" customFormat="false" ht="15" hidden="false" customHeight="false" outlineLevel="0" collapsed="false">
      <c r="A464" s="5" t="s">
        <v>109</v>
      </c>
      <c r="B464" s="5" t="s">
        <v>90</v>
      </c>
      <c r="C464" s="5" t="s">
        <v>661</v>
      </c>
      <c r="D464" s="5" t="s">
        <v>649</v>
      </c>
      <c r="E464" s="5" t="s">
        <v>116</v>
      </c>
      <c r="F464" s="5" t="s">
        <v>1055</v>
      </c>
      <c r="G464" s="5" t="s">
        <v>1052</v>
      </c>
    </row>
    <row r="465" customFormat="false" ht="15" hidden="false" customHeight="false" outlineLevel="0" collapsed="false">
      <c r="A465" s="5" t="s">
        <v>109</v>
      </c>
      <c r="B465" s="5" t="s">
        <v>90</v>
      </c>
      <c r="C465" s="5" t="s">
        <v>662</v>
      </c>
      <c r="D465" s="5" t="s">
        <v>649</v>
      </c>
      <c r="E465" s="5" t="s">
        <v>544</v>
      </c>
      <c r="F465" s="5" t="s">
        <v>1055</v>
      </c>
      <c r="G465" s="5" t="s">
        <v>1052</v>
      </c>
    </row>
    <row r="466" customFormat="false" ht="15" hidden="false" customHeight="false" outlineLevel="0" collapsed="false">
      <c r="A466" s="5" t="s">
        <v>109</v>
      </c>
      <c r="B466" s="5" t="s">
        <v>90</v>
      </c>
      <c r="C466" s="5" t="s">
        <v>663</v>
      </c>
      <c r="D466" s="5" t="s">
        <v>649</v>
      </c>
      <c r="E466" s="5" t="s">
        <v>546</v>
      </c>
      <c r="F466" s="5" t="s">
        <v>1055</v>
      </c>
      <c r="G466" s="5" t="s">
        <v>1052</v>
      </c>
    </row>
    <row r="467" customFormat="false" ht="15" hidden="false" customHeight="false" outlineLevel="0" collapsed="false">
      <c r="A467" s="5" t="s">
        <v>109</v>
      </c>
      <c r="B467" s="5" t="s">
        <v>90</v>
      </c>
      <c r="C467" s="5" t="s">
        <v>664</v>
      </c>
      <c r="D467" s="5" t="s">
        <v>649</v>
      </c>
      <c r="E467" s="5" t="s">
        <v>548</v>
      </c>
      <c r="F467" s="5" t="s">
        <v>1055</v>
      </c>
      <c r="G467" s="5" t="s">
        <v>1052</v>
      </c>
    </row>
    <row r="468" customFormat="false" ht="15" hidden="false" customHeight="false" outlineLevel="0" collapsed="false">
      <c r="A468" s="5" t="s">
        <v>109</v>
      </c>
      <c r="B468" s="5" t="s">
        <v>90</v>
      </c>
      <c r="C468" s="5" t="s">
        <v>665</v>
      </c>
      <c r="D468" s="5" t="s">
        <v>649</v>
      </c>
      <c r="E468" s="5" t="s">
        <v>550</v>
      </c>
      <c r="F468" s="5" t="s">
        <v>1055</v>
      </c>
      <c r="G468" s="5" t="s">
        <v>1052</v>
      </c>
    </row>
    <row r="469" customFormat="false" ht="15" hidden="false" customHeight="false" outlineLevel="0" collapsed="false">
      <c r="A469" s="5" t="s">
        <v>109</v>
      </c>
      <c r="B469" s="5" t="s">
        <v>90</v>
      </c>
      <c r="C469" s="5" t="s">
        <v>666</v>
      </c>
      <c r="D469" s="5" t="s">
        <v>649</v>
      </c>
      <c r="E469" s="5" t="s">
        <v>118</v>
      </c>
      <c r="F469" s="5" t="s">
        <v>1055</v>
      </c>
      <c r="G469" s="5" t="s">
        <v>1052</v>
      </c>
    </row>
    <row r="470" customFormat="false" ht="15" hidden="false" customHeight="false" outlineLevel="0" collapsed="false">
      <c r="A470" s="5" t="s">
        <v>109</v>
      </c>
      <c r="B470" s="5" t="s">
        <v>90</v>
      </c>
      <c r="C470" s="5" t="s">
        <v>667</v>
      </c>
      <c r="D470" s="5" t="s">
        <v>649</v>
      </c>
      <c r="E470" s="5" t="s">
        <v>120</v>
      </c>
      <c r="F470" s="5" t="s">
        <v>1055</v>
      </c>
      <c r="G470" s="5" t="s">
        <v>1052</v>
      </c>
    </row>
    <row r="471" customFormat="false" ht="15" hidden="false" customHeight="false" outlineLevel="0" collapsed="false">
      <c r="A471" s="5" t="s">
        <v>109</v>
      </c>
      <c r="B471" s="5" t="s">
        <v>90</v>
      </c>
      <c r="C471" s="5" t="s">
        <v>668</v>
      </c>
      <c r="D471" s="5" t="s">
        <v>649</v>
      </c>
      <c r="E471" s="5" t="s">
        <v>554</v>
      </c>
      <c r="F471" s="5" t="s">
        <v>1055</v>
      </c>
      <c r="G471" s="5" t="s">
        <v>1052</v>
      </c>
    </row>
    <row r="472" customFormat="false" ht="15" hidden="false" customHeight="false" outlineLevel="0" collapsed="false">
      <c r="A472" s="5" t="s">
        <v>109</v>
      </c>
      <c r="B472" s="5" t="s">
        <v>90</v>
      </c>
      <c r="C472" s="5" t="s">
        <v>669</v>
      </c>
      <c r="D472" s="5" t="s">
        <v>670</v>
      </c>
      <c r="E472" s="5" t="s">
        <v>522</v>
      </c>
      <c r="F472" s="5" t="s">
        <v>1051</v>
      </c>
      <c r="G472" s="5" t="s">
        <v>1052</v>
      </c>
    </row>
    <row r="473" customFormat="false" ht="15" hidden="false" customHeight="false" outlineLevel="0" collapsed="false">
      <c r="A473" s="5" t="s">
        <v>109</v>
      </c>
      <c r="B473" s="5" t="s">
        <v>90</v>
      </c>
      <c r="C473" s="5" t="s">
        <v>671</v>
      </c>
      <c r="D473" s="5" t="s">
        <v>670</v>
      </c>
      <c r="E473" s="5" t="s">
        <v>524</v>
      </c>
      <c r="F473" s="5" t="s">
        <v>1051</v>
      </c>
      <c r="G473" s="5" t="s">
        <v>1052</v>
      </c>
    </row>
    <row r="474" customFormat="false" ht="15" hidden="false" customHeight="false" outlineLevel="0" collapsed="false">
      <c r="A474" s="5" t="s">
        <v>109</v>
      </c>
      <c r="B474" s="5" t="s">
        <v>90</v>
      </c>
      <c r="C474" s="5" t="s">
        <v>672</v>
      </c>
      <c r="D474" s="5" t="s">
        <v>670</v>
      </c>
      <c r="E474" s="5" t="s">
        <v>526</v>
      </c>
      <c r="F474" s="5" t="s">
        <v>1051</v>
      </c>
      <c r="G474" s="5" t="s">
        <v>1052</v>
      </c>
    </row>
    <row r="475" customFormat="false" ht="15" hidden="false" customHeight="false" outlineLevel="0" collapsed="false">
      <c r="A475" s="5" t="s">
        <v>109</v>
      </c>
      <c r="B475" s="5" t="s">
        <v>90</v>
      </c>
      <c r="C475" s="5" t="s">
        <v>673</v>
      </c>
      <c r="D475" s="5" t="s">
        <v>670</v>
      </c>
      <c r="E475" s="5" t="s">
        <v>528</v>
      </c>
      <c r="F475" s="5" t="s">
        <v>1051</v>
      </c>
      <c r="G475" s="5" t="s">
        <v>1052</v>
      </c>
    </row>
    <row r="476" customFormat="false" ht="15" hidden="false" customHeight="false" outlineLevel="0" collapsed="false">
      <c r="A476" s="5" t="s">
        <v>109</v>
      </c>
      <c r="B476" s="5" t="s">
        <v>90</v>
      </c>
      <c r="C476" s="5" t="s">
        <v>674</v>
      </c>
      <c r="D476" s="5" t="s">
        <v>670</v>
      </c>
      <c r="E476" s="5" t="s">
        <v>530</v>
      </c>
      <c r="F476" s="5" t="s">
        <v>1051</v>
      </c>
      <c r="G476" s="5" t="s">
        <v>1052</v>
      </c>
    </row>
    <row r="477" customFormat="false" ht="15" hidden="false" customHeight="false" outlineLevel="0" collapsed="false">
      <c r="A477" s="5" t="s">
        <v>109</v>
      </c>
      <c r="B477" s="5" t="s">
        <v>90</v>
      </c>
      <c r="C477" s="5" t="s">
        <v>675</v>
      </c>
      <c r="D477" s="5" t="s">
        <v>670</v>
      </c>
      <c r="E477" s="5" t="s">
        <v>112</v>
      </c>
      <c r="F477" s="5" t="s">
        <v>1051</v>
      </c>
      <c r="G477" s="5" t="s">
        <v>1052</v>
      </c>
    </row>
    <row r="478" customFormat="false" ht="15" hidden="false" customHeight="false" outlineLevel="0" collapsed="false">
      <c r="A478" s="5" t="s">
        <v>109</v>
      </c>
      <c r="B478" s="5" t="s">
        <v>90</v>
      </c>
      <c r="C478" s="5" t="s">
        <v>676</v>
      </c>
      <c r="D478" s="5" t="s">
        <v>670</v>
      </c>
      <c r="E478" s="5" t="s">
        <v>533</v>
      </c>
      <c r="F478" s="5" t="s">
        <v>1051</v>
      </c>
      <c r="G478" s="5" t="s">
        <v>1052</v>
      </c>
    </row>
    <row r="479" customFormat="false" ht="15" hidden="false" customHeight="false" outlineLevel="0" collapsed="false">
      <c r="A479" s="5" t="s">
        <v>109</v>
      </c>
      <c r="B479" s="5" t="s">
        <v>90</v>
      </c>
      <c r="C479" s="5" t="s">
        <v>677</v>
      </c>
      <c r="D479" s="5" t="s">
        <v>670</v>
      </c>
      <c r="E479" s="5" t="s">
        <v>123</v>
      </c>
      <c r="F479" s="5" t="s">
        <v>1051</v>
      </c>
      <c r="G479" s="5" t="s">
        <v>1052</v>
      </c>
    </row>
    <row r="480" customFormat="false" ht="15" hidden="false" customHeight="false" outlineLevel="0" collapsed="false">
      <c r="A480" s="5" t="s">
        <v>109</v>
      </c>
      <c r="B480" s="5" t="s">
        <v>90</v>
      </c>
      <c r="C480" s="5" t="s">
        <v>678</v>
      </c>
      <c r="D480" s="5" t="s">
        <v>670</v>
      </c>
      <c r="E480" s="5" t="s">
        <v>536</v>
      </c>
      <c r="F480" s="5" t="s">
        <v>1051</v>
      </c>
      <c r="G480" s="5" t="s">
        <v>1052</v>
      </c>
    </row>
    <row r="481" customFormat="false" ht="15" hidden="false" customHeight="false" outlineLevel="0" collapsed="false">
      <c r="A481" s="5" t="s">
        <v>109</v>
      </c>
      <c r="B481" s="5" t="s">
        <v>90</v>
      </c>
      <c r="C481" s="5" t="s">
        <v>679</v>
      </c>
      <c r="D481" s="5" t="s">
        <v>670</v>
      </c>
      <c r="E481" s="5" t="s">
        <v>538</v>
      </c>
      <c r="F481" s="5" t="s">
        <v>1051</v>
      </c>
      <c r="G481" s="5" t="s">
        <v>1052</v>
      </c>
    </row>
    <row r="482" customFormat="false" ht="15" hidden="false" customHeight="false" outlineLevel="0" collapsed="false">
      <c r="A482" s="5" t="s">
        <v>109</v>
      </c>
      <c r="B482" s="5" t="s">
        <v>90</v>
      </c>
      <c r="C482" s="5" t="s">
        <v>680</v>
      </c>
      <c r="D482" s="5" t="s">
        <v>670</v>
      </c>
      <c r="E482" s="5" t="s">
        <v>540</v>
      </c>
      <c r="F482" s="5" t="s">
        <v>1051</v>
      </c>
      <c r="G482" s="5" t="s">
        <v>1052</v>
      </c>
    </row>
    <row r="483" customFormat="false" ht="15" hidden="false" customHeight="false" outlineLevel="0" collapsed="false">
      <c r="A483" s="5" t="s">
        <v>109</v>
      </c>
      <c r="B483" s="5" t="s">
        <v>90</v>
      </c>
      <c r="C483" s="5" t="s">
        <v>681</v>
      </c>
      <c r="D483" s="5" t="s">
        <v>670</v>
      </c>
      <c r="E483" s="5" t="s">
        <v>114</v>
      </c>
      <c r="F483" s="5" t="s">
        <v>1055</v>
      </c>
      <c r="G483" s="5" t="s">
        <v>1052</v>
      </c>
    </row>
    <row r="484" customFormat="false" ht="15" hidden="false" customHeight="false" outlineLevel="0" collapsed="false">
      <c r="A484" s="5" t="s">
        <v>109</v>
      </c>
      <c r="B484" s="5" t="s">
        <v>90</v>
      </c>
      <c r="C484" s="5" t="s">
        <v>682</v>
      </c>
      <c r="D484" s="5" t="s">
        <v>670</v>
      </c>
      <c r="E484" s="5" t="s">
        <v>116</v>
      </c>
      <c r="F484" s="5" t="s">
        <v>1055</v>
      </c>
      <c r="G484" s="5" t="s">
        <v>1052</v>
      </c>
    </row>
    <row r="485" customFormat="false" ht="15" hidden="false" customHeight="false" outlineLevel="0" collapsed="false">
      <c r="A485" s="5" t="s">
        <v>109</v>
      </c>
      <c r="B485" s="5" t="s">
        <v>90</v>
      </c>
      <c r="C485" s="5" t="s">
        <v>683</v>
      </c>
      <c r="D485" s="5" t="s">
        <v>670</v>
      </c>
      <c r="E485" s="5" t="s">
        <v>544</v>
      </c>
      <c r="F485" s="5" t="s">
        <v>1055</v>
      </c>
      <c r="G485" s="5" t="s">
        <v>1052</v>
      </c>
    </row>
    <row r="486" customFormat="false" ht="15" hidden="false" customHeight="false" outlineLevel="0" collapsed="false">
      <c r="A486" s="5" t="s">
        <v>109</v>
      </c>
      <c r="B486" s="5" t="s">
        <v>90</v>
      </c>
      <c r="C486" s="5" t="s">
        <v>684</v>
      </c>
      <c r="D486" s="5" t="s">
        <v>670</v>
      </c>
      <c r="E486" s="5" t="s">
        <v>546</v>
      </c>
      <c r="F486" s="5" t="s">
        <v>1055</v>
      </c>
      <c r="G486" s="5" t="s">
        <v>1052</v>
      </c>
    </row>
    <row r="487" customFormat="false" ht="15" hidden="false" customHeight="false" outlineLevel="0" collapsed="false">
      <c r="A487" s="5" t="s">
        <v>109</v>
      </c>
      <c r="B487" s="5" t="s">
        <v>90</v>
      </c>
      <c r="C487" s="5" t="s">
        <v>685</v>
      </c>
      <c r="D487" s="5" t="s">
        <v>670</v>
      </c>
      <c r="E487" s="5" t="s">
        <v>548</v>
      </c>
      <c r="F487" s="5" t="s">
        <v>1055</v>
      </c>
      <c r="G487" s="5" t="s">
        <v>1052</v>
      </c>
    </row>
    <row r="488" customFormat="false" ht="15" hidden="false" customHeight="false" outlineLevel="0" collapsed="false">
      <c r="A488" s="5" t="s">
        <v>109</v>
      </c>
      <c r="B488" s="5" t="s">
        <v>90</v>
      </c>
      <c r="C488" s="5" t="s">
        <v>686</v>
      </c>
      <c r="D488" s="5" t="s">
        <v>670</v>
      </c>
      <c r="E488" s="5" t="s">
        <v>550</v>
      </c>
      <c r="F488" s="5" t="s">
        <v>1055</v>
      </c>
      <c r="G488" s="5" t="s">
        <v>1052</v>
      </c>
    </row>
    <row r="489" customFormat="false" ht="15" hidden="false" customHeight="false" outlineLevel="0" collapsed="false">
      <c r="A489" s="5" t="s">
        <v>109</v>
      </c>
      <c r="B489" s="5" t="s">
        <v>90</v>
      </c>
      <c r="C489" s="5" t="s">
        <v>687</v>
      </c>
      <c r="D489" s="5" t="s">
        <v>670</v>
      </c>
      <c r="E489" s="5" t="s">
        <v>118</v>
      </c>
      <c r="F489" s="5" t="s">
        <v>1055</v>
      </c>
      <c r="G489" s="5" t="s">
        <v>1052</v>
      </c>
    </row>
    <row r="490" customFormat="false" ht="15" hidden="false" customHeight="false" outlineLevel="0" collapsed="false">
      <c r="A490" s="5" t="s">
        <v>109</v>
      </c>
      <c r="B490" s="5" t="s">
        <v>90</v>
      </c>
      <c r="C490" s="5" t="s">
        <v>688</v>
      </c>
      <c r="D490" s="5" t="s">
        <v>670</v>
      </c>
      <c r="E490" s="5" t="s">
        <v>120</v>
      </c>
      <c r="F490" s="5" t="s">
        <v>1055</v>
      </c>
      <c r="G490" s="5" t="s">
        <v>1052</v>
      </c>
    </row>
    <row r="491" customFormat="false" ht="15" hidden="false" customHeight="false" outlineLevel="0" collapsed="false">
      <c r="A491" s="5" t="s">
        <v>109</v>
      </c>
      <c r="B491" s="5" t="s">
        <v>90</v>
      </c>
      <c r="C491" s="5" t="s">
        <v>689</v>
      </c>
      <c r="D491" s="5" t="s">
        <v>670</v>
      </c>
      <c r="E491" s="5" t="s">
        <v>554</v>
      </c>
      <c r="F491" s="5" t="s">
        <v>1055</v>
      </c>
      <c r="G491" s="5" t="s">
        <v>1052</v>
      </c>
    </row>
    <row r="492" customFormat="false" ht="15" hidden="false" customHeight="false" outlineLevel="0" collapsed="false">
      <c r="A492" s="5" t="s">
        <v>109</v>
      </c>
      <c r="B492" s="5" t="s">
        <v>90</v>
      </c>
      <c r="C492" s="5" t="s">
        <v>690</v>
      </c>
      <c r="D492" s="5" t="s">
        <v>691</v>
      </c>
      <c r="E492" s="5" t="s">
        <v>522</v>
      </c>
      <c r="F492" s="5" t="s">
        <v>1051</v>
      </c>
      <c r="G492" s="5" t="s">
        <v>1052</v>
      </c>
    </row>
    <row r="493" customFormat="false" ht="15" hidden="false" customHeight="false" outlineLevel="0" collapsed="false">
      <c r="A493" s="5" t="s">
        <v>109</v>
      </c>
      <c r="B493" s="5" t="s">
        <v>90</v>
      </c>
      <c r="C493" s="5" t="s">
        <v>692</v>
      </c>
      <c r="D493" s="5" t="s">
        <v>691</v>
      </c>
      <c r="E493" s="5" t="s">
        <v>524</v>
      </c>
      <c r="F493" s="5" t="s">
        <v>1051</v>
      </c>
      <c r="G493" s="5" t="s">
        <v>1052</v>
      </c>
    </row>
    <row r="494" customFormat="false" ht="15" hidden="false" customHeight="false" outlineLevel="0" collapsed="false">
      <c r="A494" s="5" t="s">
        <v>109</v>
      </c>
      <c r="B494" s="5" t="s">
        <v>90</v>
      </c>
      <c r="C494" s="5" t="s">
        <v>693</v>
      </c>
      <c r="D494" s="5" t="s">
        <v>691</v>
      </c>
      <c r="E494" s="5" t="s">
        <v>526</v>
      </c>
      <c r="F494" s="5" t="s">
        <v>1051</v>
      </c>
      <c r="G494" s="5" t="s">
        <v>1052</v>
      </c>
    </row>
    <row r="495" customFormat="false" ht="15" hidden="false" customHeight="false" outlineLevel="0" collapsed="false">
      <c r="A495" s="5" t="s">
        <v>109</v>
      </c>
      <c r="B495" s="5" t="s">
        <v>90</v>
      </c>
      <c r="C495" s="5" t="s">
        <v>694</v>
      </c>
      <c r="D495" s="5" t="s">
        <v>691</v>
      </c>
      <c r="E495" s="5" t="s">
        <v>528</v>
      </c>
      <c r="F495" s="5" t="s">
        <v>1051</v>
      </c>
      <c r="G495" s="5" t="s">
        <v>1052</v>
      </c>
    </row>
    <row r="496" customFormat="false" ht="15" hidden="false" customHeight="false" outlineLevel="0" collapsed="false">
      <c r="A496" s="5" t="s">
        <v>109</v>
      </c>
      <c r="B496" s="5" t="s">
        <v>90</v>
      </c>
      <c r="C496" s="5" t="s">
        <v>695</v>
      </c>
      <c r="D496" s="5" t="s">
        <v>691</v>
      </c>
      <c r="E496" s="5" t="s">
        <v>530</v>
      </c>
      <c r="F496" s="5" t="s">
        <v>1051</v>
      </c>
      <c r="G496" s="5" t="s">
        <v>1052</v>
      </c>
    </row>
    <row r="497" customFormat="false" ht="15" hidden="false" customHeight="false" outlineLevel="0" collapsed="false">
      <c r="A497" s="5" t="s">
        <v>109</v>
      </c>
      <c r="B497" s="5" t="s">
        <v>90</v>
      </c>
      <c r="C497" s="5" t="s">
        <v>696</v>
      </c>
      <c r="D497" s="5" t="s">
        <v>691</v>
      </c>
      <c r="E497" s="5" t="s">
        <v>112</v>
      </c>
      <c r="F497" s="5" t="s">
        <v>1051</v>
      </c>
      <c r="G497" s="5" t="s">
        <v>1052</v>
      </c>
    </row>
    <row r="498" customFormat="false" ht="15" hidden="false" customHeight="false" outlineLevel="0" collapsed="false">
      <c r="A498" s="5" t="s">
        <v>109</v>
      </c>
      <c r="B498" s="5" t="s">
        <v>90</v>
      </c>
      <c r="C498" s="5" t="s">
        <v>697</v>
      </c>
      <c r="D498" s="5" t="s">
        <v>691</v>
      </c>
      <c r="E498" s="5" t="s">
        <v>533</v>
      </c>
      <c r="F498" s="5" t="s">
        <v>1051</v>
      </c>
      <c r="G498" s="5" t="s">
        <v>1052</v>
      </c>
    </row>
    <row r="499" customFormat="false" ht="15" hidden="false" customHeight="false" outlineLevel="0" collapsed="false">
      <c r="A499" s="5" t="s">
        <v>109</v>
      </c>
      <c r="B499" s="5" t="s">
        <v>90</v>
      </c>
      <c r="C499" s="5" t="s">
        <v>698</v>
      </c>
      <c r="D499" s="5" t="s">
        <v>691</v>
      </c>
      <c r="E499" s="5" t="s">
        <v>123</v>
      </c>
      <c r="F499" s="5" t="s">
        <v>1051</v>
      </c>
      <c r="G499" s="5" t="s">
        <v>1052</v>
      </c>
    </row>
    <row r="500" customFormat="false" ht="15" hidden="false" customHeight="false" outlineLevel="0" collapsed="false">
      <c r="A500" s="5" t="s">
        <v>109</v>
      </c>
      <c r="B500" s="5" t="s">
        <v>90</v>
      </c>
      <c r="C500" s="5" t="s">
        <v>699</v>
      </c>
      <c r="D500" s="5" t="s">
        <v>691</v>
      </c>
      <c r="E500" s="5" t="s">
        <v>536</v>
      </c>
      <c r="F500" s="5" t="s">
        <v>1051</v>
      </c>
      <c r="G500" s="5" t="s">
        <v>1052</v>
      </c>
    </row>
    <row r="501" customFormat="false" ht="15" hidden="false" customHeight="false" outlineLevel="0" collapsed="false">
      <c r="A501" s="5" t="s">
        <v>109</v>
      </c>
      <c r="B501" s="5" t="s">
        <v>90</v>
      </c>
      <c r="C501" s="5" t="s">
        <v>700</v>
      </c>
      <c r="D501" s="5" t="s">
        <v>691</v>
      </c>
      <c r="E501" s="5" t="s">
        <v>538</v>
      </c>
      <c r="F501" s="5" t="s">
        <v>1051</v>
      </c>
      <c r="G501" s="5" t="s">
        <v>1052</v>
      </c>
    </row>
    <row r="502" customFormat="false" ht="15" hidden="false" customHeight="false" outlineLevel="0" collapsed="false">
      <c r="A502" s="5" t="s">
        <v>109</v>
      </c>
      <c r="B502" s="5" t="s">
        <v>90</v>
      </c>
      <c r="C502" s="5" t="s">
        <v>701</v>
      </c>
      <c r="D502" s="5" t="s">
        <v>691</v>
      </c>
      <c r="E502" s="5" t="s">
        <v>540</v>
      </c>
      <c r="F502" s="5" t="s">
        <v>1051</v>
      </c>
      <c r="G502" s="5" t="s">
        <v>1052</v>
      </c>
    </row>
    <row r="503" customFormat="false" ht="15" hidden="false" customHeight="false" outlineLevel="0" collapsed="false">
      <c r="A503" s="5" t="s">
        <v>109</v>
      </c>
      <c r="B503" s="5" t="s">
        <v>90</v>
      </c>
      <c r="C503" s="5" t="s">
        <v>702</v>
      </c>
      <c r="D503" s="5" t="s">
        <v>691</v>
      </c>
      <c r="E503" s="5" t="s">
        <v>114</v>
      </c>
      <c r="F503" s="5" t="s">
        <v>1055</v>
      </c>
      <c r="G503" s="5" t="s">
        <v>1052</v>
      </c>
    </row>
    <row r="504" customFormat="false" ht="15" hidden="false" customHeight="false" outlineLevel="0" collapsed="false">
      <c r="A504" s="5" t="s">
        <v>109</v>
      </c>
      <c r="B504" s="5" t="s">
        <v>90</v>
      </c>
      <c r="C504" s="5" t="s">
        <v>703</v>
      </c>
      <c r="D504" s="5" t="s">
        <v>691</v>
      </c>
      <c r="E504" s="5" t="s">
        <v>116</v>
      </c>
      <c r="F504" s="5" t="s">
        <v>1055</v>
      </c>
      <c r="G504" s="5" t="s">
        <v>1052</v>
      </c>
    </row>
    <row r="505" customFormat="false" ht="15" hidden="false" customHeight="false" outlineLevel="0" collapsed="false">
      <c r="A505" s="5" t="s">
        <v>109</v>
      </c>
      <c r="B505" s="5" t="s">
        <v>90</v>
      </c>
      <c r="C505" s="5" t="s">
        <v>704</v>
      </c>
      <c r="D505" s="5" t="s">
        <v>691</v>
      </c>
      <c r="E505" s="5" t="s">
        <v>544</v>
      </c>
      <c r="F505" s="5" t="s">
        <v>1055</v>
      </c>
      <c r="G505" s="5" t="s">
        <v>1052</v>
      </c>
    </row>
    <row r="506" customFormat="false" ht="15" hidden="false" customHeight="false" outlineLevel="0" collapsed="false">
      <c r="A506" s="5" t="s">
        <v>109</v>
      </c>
      <c r="B506" s="5" t="s">
        <v>90</v>
      </c>
      <c r="C506" s="5" t="s">
        <v>705</v>
      </c>
      <c r="D506" s="5" t="s">
        <v>691</v>
      </c>
      <c r="E506" s="5" t="s">
        <v>546</v>
      </c>
      <c r="F506" s="5" t="s">
        <v>1055</v>
      </c>
      <c r="G506" s="5" t="s">
        <v>1052</v>
      </c>
    </row>
    <row r="507" customFormat="false" ht="15" hidden="false" customHeight="false" outlineLevel="0" collapsed="false">
      <c r="A507" s="5" t="s">
        <v>109</v>
      </c>
      <c r="B507" s="5" t="s">
        <v>90</v>
      </c>
      <c r="C507" s="5" t="s">
        <v>706</v>
      </c>
      <c r="D507" s="5" t="s">
        <v>691</v>
      </c>
      <c r="E507" s="5" t="s">
        <v>548</v>
      </c>
      <c r="F507" s="5" t="s">
        <v>1055</v>
      </c>
      <c r="G507" s="5" t="s">
        <v>1052</v>
      </c>
    </row>
    <row r="508" customFormat="false" ht="15" hidden="false" customHeight="false" outlineLevel="0" collapsed="false">
      <c r="A508" s="5" t="s">
        <v>109</v>
      </c>
      <c r="B508" s="5" t="s">
        <v>90</v>
      </c>
      <c r="C508" s="5" t="s">
        <v>707</v>
      </c>
      <c r="D508" s="5" t="s">
        <v>691</v>
      </c>
      <c r="E508" s="5" t="s">
        <v>550</v>
      </c>
      <c r="F508" s="5" t="s">
        <v>1055</v>
      </c>
      <c r="G508" s="5" t="s">
        <v>1052</v>
      </c>
    </row>
    <row r="509" customFormat="false" ht="15" hidden="false" customHeight="false" outlineLevel="0" collapsed="false">
      <c r="A509" s="5" t="s">
        <v>109</v>
      </c>
      <c r="B509" s="5" t="s">
        <v>90</v>
      </c>
      <c r="C509" s="5" t="s">
        <v>708</v>
      </c>
      <c r="D509" s="5" t="s">
        <v>691</v>
      </c>
      <c r="E509" s="5" t="s">
        <v>118</v>
      </c>
      <c r="F509" s="5" t="s">
        <v>1055</v>
      </c>
      <c r="G509" s="5" t="s">
        <v>1052</v>
      </c>
    </row>
    <row r="510" customFormat="false" ht="15" hidden="false" customHeight="false" outlineLevel="0" collapsed="false">
      <c r="A510" s="5" t="s">
        <v>109</v>
      </c>
      <c r="B510" s="5" t="s">
        <v>90</v>
      </c>
      <c r="C510" s="5" t="s">
        <v>709</v>
      </c>
      <c r="D510" s="5" t="s">
        <v>691</v>
      </c>
      <c r="E510" s="5" t="s">
        <v>120</v>
      </c>
      <c r="F510" s="5" t="s">
        <v>1055</v>
      </c>
      <c r="G510" s="5" t="s">
        <v>1052</v>
      </c>
    </row>
    <row r="511" customFormat="false" ht="15" hidden="false" customHeight="false" outlineLevel="0" collapsed="false">
      <c r="A511" s="5" t="s">
        <v>109</v>
      </c>
      <c r="B511" s="5" t="s">
        <v>90</v>
      </c>
      <c r="C511" s="5" t="s">
        <v>710</v>
      </c>
      <c r="D511" s="5" t="s">
        <v>691</v>
      </c>
      <c r="E511" s="5" t="s">
        <v>554</v>
      </c>
      <c r="F511" s="5" t="s">
        <v>1055</v>
      </c>
      <c r="G511" s="5" t="s">
        <v>1052</v>
      </c>
    </row>
    <row r="512" customFormat="false" ht="15" hidden="false" customHeight="false" outlineLevel="0" collapsed="false">
      <c r="A512" s="5" t="s">
        <v>109</v>
      </c>
      <c r="B512" s="5" t="s">
        <v>90</v>
      </c>
      <c r="C512" s="5" t="s">
        <v>711</v>
      </c>
      <c r="D512" s="5" t="s">
        <v>712</v>
      </c>
      <c r="E512" s="5" t="s">
        <v>522</v>
      </c>
      <c r="F512" s="5" t="s">
        <v>1051</v>
      </c>
      <c r="G512" s="5" t="s">
        <v>1052</v>
      </c>
    </row>
    <row r="513" customFormat="false" ht="15" hidden="false" customHeight="false" outlineLevel="0" collapsed="false">
      <c r="A513" s="5" t="s">
        <v>109</v>
      </c>
      <c r="B513" s="5" t="s">
        <v>90</v>
      </c>
      <c r="C513" s="5" t="s">
        <v>713</v>
      </c>
      <c r="D513" s="5" t="s">
        <v>712</v>
      </c>
      <c r="E513" s="5" t="s">
        <v>524</v>
      </c>
      <c r="F513" s="5" t="s">
        <v>1051</v>
      </c>
      <c r="G513" s="5" t="s">
        <v>1052</v>
      </c>
    </row>
    <row r="514" customFormat="false" ht="15" hidden="false" customHeight="false" outlineLevel="0" collapsed="false">
      <c r="A514" s="5" t="s">
        <v>109</v>
      </c>
      <c r="B514" s="5" t="s">
        <v>90</v>
      </c>
      <c r="C514" s="5" t="s">
        <v>714</v>
      </c>
      <c r="D514" s="5" t="s">
        <v>712</v>
      </c>
      <c r="E514" s="5" t="s">
        <v>526</v>
      </c>
      <c r="F514" s="5" t="s">
        <v>1051</v>
      </c>
      <c r="G514" s="5" t="s">
        <v>1052</v>
      </c>
    </row>
    <row r="515" customFormat="false" ht="15" hidden="false" customHeight="false" outlineLevel="0" collapsed="false">
      <c r="A515" s="5" t="s">
        <v>109</v>
      </c>
      <c r="B515" s="5" t="s">
        <v>90</v>
      </c>
      <c r="C515" s="5" t="s">
        <v>715</v>
      </c>
      <c r="D515" s="5" t="s">
        <v>712</v>
      </c>
      <c r="E515" s="5" t="s">
        <v>528</v>
      </c>
      <c r="F515" s="5" t="s">
        <v>1051</v>
      </c>
      <c r="G515" s="5" t="s">
        <v>1052</v>
      </c>
    </row>
    <row r="516" customFormat="false" ht="15" hidden="false" customHeight="false" outlineLevel="0" collapsed="false">
      <c r="A516" s="5" t="s">
        <v>109</v>
      </c>
      <c r="B516" s="5" t="s">
        <v>90</v>
      </c>
      <c r="C516" s="5" t="s">
        <v>716</v>
      </c>
      <c r="D516" s="5" t="s">
        <v>712</v>
      </c>
      <c r="E516" s="5" t="s">
        <v>530</v>
      </c>
      <c r="F516" s="5" t="s">
        <v>1051</v>
      </c>
      <c r="G516" s="5" t="s">
        <v>1052</v>
      </c>
    </row>
    <row r="517" customFormat="false" ht="15" hidden="false" customHeight="false" outlineLevel="0" collapsed="false">
      <c r="A517" s="5" t="s">
        <v>109</v>
      </c>
      <c r="B517" s="5" t="s">
        <v>90</v>
      </c>
      <c r="C517" s="5" t="s">
        <v>717</v>
      </c>
      <c r="D517" s="5" t="s">
        <v>712</v>
      </c>
      <c r="E517" s="5" t="s">
        <v>112</v>
      </c>
      <c r="F517" s="5" t="s">
        <v>1051</v>
      </c>
      <c r="G517" s="5" t="s">
        <v>1052</v>
      </c>
    </row>
    <row r="518" customFormat="false" ht="15" hidden="false" customHeight="false" outlineLevel="0" collapsed="false">
      <c r="A518" s="5" t="s">
        <v>109</v>
      </c>
      <c r="B518" s="5" t="s">
        <v>90</v>
      </c>
      <c r="C518" s="5" t="s">
        <v>718</v>
      </c>
      <c r="D518" s="5" t="s">
        <v>712</v>
      </c>
      <c r="E518" s="5" t="s">
        <v>533</v>
      </c>
      <c r="F518" s="5" t="s">
        <v>1051</v>
      </c>
      <c r="G518" s="5" t="s">
        <v>1052</v>
      </c>
    </row>
    <row r="519" customFormat="false" ht="15" hidden="false" customHeight="false" outlineLevel="0" collapsed="false">
      <c r="A519" s="5" t="s">
        <v>109</v>
      </c>
      <c r="B519" s="5" t="s">
        <v>90</v>
      </c>
      <c r="C519" s="5" t="s">
        <v>719</v>
      </c>
      <c r="D519" s="5" t="s">
        <v>712</v>
      </c>
      <c r="E519" s="5" t="s">
        <v>123</v>
      </c>
      <c r="F519" s="5" t="s">
        <v>1051</v>
      </c>
      <c r="G519" s="5" t="s">
        <v>1052</v>
      </c>
    </row>
    <row r="520" customFormat="false" ht="15" hidden="false" customHeight="false" outlineLevel="0" collapsed="false">
      <c r="A520" s="5" t="s">
        <v>109</v>
      </c>
      <c r="B520" s="5" t="s">
        <v>90</v>
      </c>
      <c r="C520" s="5" t="s">
        <v>720</v>
      </c>
      <c r="D520" s="5" t="s">
        <v>712</v>
      </c>
      <c r="E520" s="5" t="s">
        <v>536</v>
      </c>
      <c r="F520" s="5" t="s">
        <v>1051</v>
      </c>
      <c r="G520" s="5" t="s">
        <v>1052</v>
      </c>
    </row>
    <row r="521" customFormat="false" ht="15" hidden="false" customHeight="false" outlineLevel="0" collapsed="false">
      <c r="A521" s="5" t="s">
        <v>109</v>
      </c>
      <c r="B521" s="5" t="s">
        <v>90</v>
      </c>
      <c r="C521" s="5" t="s">
        <v>721</v>
      </c>
      <c r="D521" s="5" t="s">
        <v>712</v>
      </c>
      <c r="E521" s="5" t="s">
        <v>538</v>
      </c>
      <c r="F521" s="5" t="s">
        <v>1051</v>
      </c>
      <c r="G521" s="5" t="s">
        <v>1052</v>
      </c>
    </row>
    <row r="522" customFormat="false" ht="15" hidden="false" customHeight="false" outlineLevel="0" collapsed="false">
      <c r="A522" s="5" t="s">
        <v>109</v>
      </c>
      <c r="B522" s="5" t="s">
        <v>90</v>
      </c>
      <c r="C522" s="5" t="s">
        <v>722</v>
      </c>
      <c r="D522" s="5" t="s">
        <v>712</v>
      </c>
      <c r="E522" s="5" t="s">
        <v>540</v>
      </c>
      <c r="F522" s="5" t="s">
        <v>1051</v>
      </c>
      <c r="G522" s="5" t="s">
        <v>1052</v>
      </c>
    </row>
    <row r="523" customFormat="false" ht="15" hidden="false" customHeight="false" outlineLevel="0" collapsed="false">
      <c r="A523" s="5" t="s">
        <v>109</v>
      </c>
      <c r="B523" s="5" t="s">
        <v>90</v>
      </c>
      <c r="C523" s="5" t="s">
        <v>723</v>
      </c>
      <c r="D523" s="5" t="s">
        <v>712</v>
      </c>
      <c r="E523" s="5" t="s">
        <v>114</v>
      </c>
      <c r="F523" s="5" t="s">
        <v>1055</v>
      </c>
      <c r="G523" s="5" t="s">
        <v>1052</v>
      </c>
    </row>
    <row r="524" customFormat="false" ht="15" hidden="false" customHeight="false" outlineLevel="0" collapsed="false">
      <c r="A524" s="5" t="s">
        <v>109</v>
      </c>
      <c r="B524" s="5" t="s">
        <v>90</v>
      </c>
      <c r="C524" s="5" t="s">
        <v>724</v>
      </c>
      <c r="D524" s="5" t="s">
        <v>712</v>
      </c>
      <c r="E524" s="5" t="s">
        <v>116</v>
      </c>
      <c r="F524" s="5" t="s">
        <v>1055</v>
      </c>
      <c r="G524" s="5" t="s">
        <v>1052</v>
      </c>
    </row>
    <row r="525" customFormat="false" ht="15" hidden="false" customHeight="false" outlineLevel="0" collapsed="false">
      <c r="A525" s="5" t="s">
        <v>109</v>
      </c>
      <c r="B525" s="5" t="s">
        <v>90</v>
      </c>
      <c r="C525" s="5" t="s">
        <v>725</v>
      </c>
      <c r="D525" s="5" t="s">
        <v>712</v>
      </c>
      <c r="E525" s="5" t="s">
        <v>544</v>
      </c>
      <c r="F525" s="5" t="s">
        <v>1055</v>
      </c>
      <c r="G525" s="5" t="s">
        <v>1052</v>
      </c>
    </row>
    <row r="526" customFormat="false" ht="15" hidden="false" customHeight="false" outlineLevel="0" collapsed="false">
      <c r="A526" s="5" t="s">
        <v>109</v>
      </c>
      <c r="B526" s="5" t="s">
        <v>90</v>
      </c>
      <c r="C526" s="5" t="s">
        <v>726</v>
      </c>
      <c r="D526" s="5" t="s">
        <v>712</v>
      </c>
      <c r="E526" s="5" t="s">
        <v>546</v>
      </c>
      <c r="F526" s="5" t="s">
        <v>1055</v>
      </c>
      <c r="G526" s="5" t="s">
        <v>1052</v>
      </c>
    </row>
    <row r="527" customFormat="false" ht="15" hidden="false" customHeight="false" outlineLevel="0" collapsed="false">
      <c r="A527" s="5" t="s">
        <v>109</v>
      </c>
      <c r="B527" s="5" t="s">
        <v>90</v>
      </c>
      <c r="C527" s="5" t="s">
        <v>727</v>
      </c>
      <c r="D527" s="5" t="s">
        <v>712</v>
      </c>
      <c r="E527" s="5" t="s">
        <v>548</v>
      </c>
      <c r="F527" s="5" t="s">
        <v>1055</v>
      </c>
      <c r="G527" s="5" t="s">
        <v>1052</v>
      </c>
    </row>
    <row r="528" customFormat="false" ht="15" hidden="false" customHeight="false" outlineLevel="0" collapsed="false">
      <c r="A528" s="5" t="s">
        <v>109</v>
      </c>
      <c r="B528" s="5" t="s">
        <v>90</v>
      </c>
      <c r="C528" s="5" t="s">
        <v>728</v>
      </c>
      <c r="D528" s="5" t="s">
        <v>712</v>
      </c>
      <c r="E528" s="5" t="s">
        <v>550</v>
      </c>
      <c r="F528" s="5" t="s">
        <v>1055</v>
      </c>
      <c r="G528" s="5" t="s">
        <v>1052</v>
      </c>
    </row>
    <row r="529" customFormat="false" ht="15" hidden="false" customHeight="false" outlineLevel="0" collapsed="false">
      <c r="A529" s="5" t="s">
        <v>109</v>
      </c>
      <c r="B529" s="5" t="s">
        <v>90</v>
      </c>
      <c r="C529" s="5" t="s">
        <v>729</v>
      </c>
      <c r="D529" s="5" t="s">
        <v>712</v>
      </c>
      <c r="E529" s="5" t="s">
        <v>118</v>
      </c>
      <c r="F529" s="5" t="s">
        <v>1055</v>
      </c>
      <c r="G529" s="5" t="s">
        <v>1052</v>
      </c>
    </row>
    <row r="530" customFormat="false" ht="15" hidden="false" customHeight="false" outlineLevel="0" collapsed="false">
      <c r="A530" s="5" t="s">
        <v>109</v>
      </c>
      <c r="B530" s="5" t="s">
        <v>90</v>
      </c>
      <c r="C530" s="5" t="s">
        <v>730</v>
      </c>
      <c r="D530" s="5" t="s">
        <v>712</v>
      </c>
      <c r="E530" s="5" t="s">
        <v>120</v>
      </c>
      <c r="F530" s="5" t="s">
        <v>1055</v>
      </c>
      <c r="G530" s="5" t="s">
        <v>1052</v>
      </c>
    </row>
    <row r="531" customFormat="false" ht="15" hidden="false" customHeight="false" outlineLevel="0" collapsed="false">
      <c r="A531" s="5" t="s">
        <v>109</v>
      </c>
      <c r="B531" s="5" t="s">
        <v>90</v>
      </c>
      <c r="C531" s="5" t="s">
        <v>731</v>
      </c>
      <c r="D531" s="5" t="s">
        <v>712</v>
      </c>
      <c r="E531" s="5" t="s">
        <v>554</v>
      </c>
      <c r="F531" s="5" t="s">
        <v>1055</v>
      </c>
      <c r="G531" s="5" t="s">
        <v>1052</v>
      </c>
    </row>
    <row r="532" customFormat="false" ht="15" hidden="false" customHeight="false" outlineLevel="0" collapsed="false">
      <c r="A532" s="5" t="s">
        <v>109</v>
      </c>
      <c r="B532" s="5" t="s">
        <v>90</v>
      </c>
      <c r="C532" s="5" t="s">
        <v>732</v>
      </c>
      <c r="D532" s="5" t="s">
        <v>733</v>
      </c>
      <c r="E532" s="5" t="s">
        <v>522</v>
      </c>
      <c r="F532" s="5" t="s">
        <v>1051</v>
      </c>
      <c r="G532" s="5" t="s">
        <v>1052</v>
      </c>
    </row>
    <row r="533" customFormat="false" ht="15" hidden="false" customHeight="false" outlineLevel="0" collapsed="false">
      <c r="A533" s="5" t="s">
        <v>109</v>
      </c>
      <c r="B533" s="5" t="s">
        <v>90</v>
      </c>
      <c r="C533" s="5" t="s">
        <v>734</v>
      </c>
      <c r="D533" s="5" t="s">
        <v>733</v>
      </c>
      <c r="E533" s="5" t="s">
        <v>524</v>
      </c>
      <c r="F533" s="5" t="s">
        <v>1051</v>
      </c>
      <c r="G533" s="5" t="s">
        <v>1052</v>
      </c>
    </row>
    <row r="534" customFormat="false" ht="15" hidden="false" customHeight="false" outlineLevel="0" collapsed="false">
      <c r="A534" s="5" t="s">
        <v>109</v>
      </c>
      <c r="B534" s="5" t="s">
        <v>90</v>
      </c>
      <c r="C534" s="5" t="s">
        <v>735</v>
      </c>
      <c r="D534" s="5" t="s">
        <v>733</v>
      </c>
      <c r="E534" s="5" t="s">
        <v>526</v>
      </c>
      <c r="F534" s="5" t="s">
        <v>1051</v>
      </c>
      <c r="G534" s="5" t="s">
        <v>1052</v>
      </c>
    </row>
    <row r="535" customFormat="false" ht="15" hidden="false" customHeight="false" outlineLevel="0" collapsed="false">
      <c r="A535" s="5" t="s">
        <v>109</v>
      </c>
      <c r="B535" s="5" t="s">
        <v>90</v>
      </c>
      <c r="C535" s="5" t="s">
        <v>736</v>
      </c>
      <c r="D535" s="5" t="s">
        <v>733</v>
      </c>
      <c r="E535" s="5" t="s">
        <v>528</v>
      </c>
      <c r="F535" s="5" t="s">
        <v>1051</v>
      </c>
      <c r="G535" s="5" t="s">
        <v>1052</v>
      </c>
    </row>
    <row r="536" customFormat="false" ht="15" hidden="false" customHeight="false" outlineLevel="0" collapsed="false">
      <c r="A536" s="5" t="s">
        <v>109</v>
      </c>
      <c r="B536" s="5" t="s">
        <v>90</v>
      </c>
      <c r="C536" s="5" t="s">
        <v>737</v>
      </c>
      <c r="D536" s="5" t="s">
        <v>733</v>
      </c>
      <c r="E536" s="5" t="s">
        <v>530</v>
      </c>
      <c r="F536" s="5" t="s">
        <v>1051</v>
      </c>
      <c r="G536" s="5" t="s">
        <v>1052</v>
      </c>
    </row>
    <row r="537" customFormat="false" ht="15" hidden="false" customHeight="false" outlineLevel="0" collapsed="false">
      <c r="A537" s="5" t="s">
        <v>109</v>
      </c>
      <c r="B537" s="5" t="s">
        <v>90</v>
      </c>
      <c r="C537" s="5" t="s">
        <v>738</v>
      </c>
      <c r="D537" s="5" t="s">
        <v>733</v>
      </c>
      <c r="E537" s="5" t="s">
        <v>112</v>
      </c>
      <c r="F537" s="5" t="s">
        <v>1051</v>
      </c>
      <c r="G537" s="5" t="s">
        <v>1052</v>
      </c>
    </row>
    <row r="538" customFormat="false" ht="15" hidden="false" customHeight="false" outlineLevel="0" collapsed="false">
      <c r="A538" s="5" t="s">
        <v>109</v>
      </c>
      <c r="B538" s="5" t="s">
        <v>90</v>
      </c>
      <c r="C538" s="5" t="s">
        <v>739</v>
      </c>
      <c r="D538" s="5" t="s">
        <v>733</v>
      </c>
      <c r="E538" s="5" t="s">
        <v>533</v>
      </c>
      <c r="F538" s="5" t="s">
        <v>1051</v>
      </c>
      <c r="G538" s="5" t="s">
        <v>1052</v>
      </c>
    </row>
    <row r="539" customFormat="false" ht="15" hidden="false" customHeight="false" outlineLevel="0" collapsed="false">
      <c r="A539" s="5" t="s">
        <v>109</v>
      </c>
      <c r="B539" s="5" t="s">
        <v>90</v>
      </c>
      <c r="C539" s="5" t="s">
        <v>740</v>
      </c>
      <c r="D539" s="5" t="s">
        <v>733</v>
      </c>
      <c r="E539" s="5" t="s">
        <v>123</v>
      </c>
      <c r="F539" s="5" t="s">
        <v>1051</v>
      </c>
      <c r="G539" s="5" t="s">
        <v>1052</v>
      </c>
    </row>
    <row r="540" customFormat="false" ht="15" hidden="false" customHeight="false" outlineLevel="0" collapsed="false">
      <c r="A540" s="5" t="s">
        <v>109</v>
      </c>
      <c r="B540" s="5" t="s">
        <v>90</v>
      </c>
      <c r="C540" s="5" t="s">
        <v>741</v>
      </c>
      <c r="D540" s="5" t="s">
        <v>733</v>
      </c>
      <c r="E540" s="5" t="s">
        <v>536</v>
      </c>
      <c r="F540" s="5" t="s">
        <v>1051</v>
      </c>
      <c r="G540" s="5" t="s">
        <v>1052</v>
      </c>
    </row>
    <row r="541" customFormat="false" ht="15" hidden="false" customHeight="false" outlineLevel="0" collapsed="false">
      <c r="A541" s="5" t="s">
        <v>109</v>
      </c>
      <c r="B541" s="5" t="s">
        <v>90</v>
      </c>
      <c r="C541" s="5" t="s">
        <v>742</v>
      </c>
      <c r="D541" s="5" t="s">
        <v>733</v>
      </c>
      <c r="E541" s="5" t="s">
        <v>538</v>
      </c>
      <c r="F541" s="5" t="s">
        <v>1051</v>
      </c>
      <c r="G541" s="5" t="s">
        <v>1052</v>
      </c>
    </row>
    <row r="542" customFormat="false" ht="15" hidden="false" customHeight="false" outlineLevel="0" collapsed="false">
      <c r="A542" s="5" t="s">
        <v>109</v>
      </c>
      <c r="B542" s="5" t="s">
        <v>90</v>
      </c>
      <c r="C542" s="5" t="s">
        <v>743</v>
      </c>
      <c r="D542" s="5" t="s">
        <v>733</v>
      </c>
      <c r="E542" s="5" t="s">
        <v>540</v>
      </c>
      <c r="F542" s="5" t="s">
        <v>1051</v>
      </c>
      <c r="G542" s="5" t="s">
        <v>1052</v>
      </c>
    </row>
    <row r="543" customFormat="false" ht="15" hidden="false" customHeight="false" outlineLevel="0" collapsed="false">
      <c r="A543" s="5" t="s">
        <v>109</v>
      </c>
      <c r="B543" s="5" t="s">
        <v>90</v>
      </c>
      <c r="C543" s="5" t="s">
        <v>744</v>
      </c>
      <c r="D543" s="5" t="s">
        <v>733</v>
      </c>
      <c r="E543" s="5" t="s">
        <v>114</v>
      </c>
      <c r="F543" s="5" t="s">
        <v>1055</v>
      </c>
      <c r="G543" s="5" t="s">
        <v>1052</v>
      </c>
    </row>
    <row r="544" customFormat="false" ht="15" hidden="false" customHeight="false" outlineLevel="0" collapsed="false">
      <c r="A544" s="5" t="s">
        <v>109</v>
      </c>
      <c r="B544" s="5" t="s">
        <v>90</v>
      </c>
      <c r="C544" s="5" t="s">
        <v>745</v>
      </c>
      <c r="D544" s="5" t="s">
        <v>733</v>
      </c>
      <c r="E544" s="5" t="s">
        <v>116</v>
      </c>
      <c r="F544" s="5" t="s">
        <v>1055</v>
      </c>
      <c r="G544" s="5" t="s">
        <v>1052</v>
      </c>
    </row>
    <row r="545" customFormat="false" ht="15" hidden="false" customHeight="false" outlineLevel="0" collapsed="false">
      <c r="A545" s="5" t="s">
        <v>109</v>
      </c>
      <c r="B545" s="5" t="s">
        <v>90</v>
      </c>
      <c r="C545" s="5" t="s">
        <v>746</v>
      </c>
      <c r="D545" s="5" t="s">
        <v>733</v>
      </c>
      <c r="E545" s="5" t="s">
        <v>544</v>
      </c>
      <c r="F545" s="5" t="s">
        <v>1055</v>
      </c>
      <c r="G545" s="5" t="s">
        <v>1052</v>
      </c>
    </row>
    <row r="546" customFormat="false" ht="15" hidden="false" customHeight="false" outlineLevel="0" collapsed="false">
      <c r="A546" s="5" t="s">
        <v>109</v>
      </c>
      <c r="B546" s="5" t="s">
        <v>90</v>
      </c>
      <c r="C546" s="5" t="s">
        <v>747</v>
      </c>
      <c r="D546" s="5" t="s">
        <v>733</v>
      </c>
      <c r="E546" s="5" t="s">
        <v>546</v>
      </c>
      <c r="F546" s="5" t="s">
        <v>1055</v>
      </c>
      <c r="G546" s="5" t="s">
        <v>1052</v>
      </c>
    </row>
    <row r="547" customFormat="false" ht="15" hidden="false" customHeight="false" outlineLevel="0" collapsed="false">
      <c r="A547" s="5" t="s">
        <v>109</v>
      </c>
      <c r="B547" s="5" t="s">
        <v>90</v>
      </c>
      <c r="C547" s="5" t="s">
        <v>748</v>
      </c>
      <c r="D547" s="5" t="s">
        <v>733</v>
      </c>
      <c r="E547" s="5" t="s">
        <v>548</v>
      </c>
      <c r="F547" s="5" t="s">
        <v>1055</v>
      </c>
      <c r="G547" s="5" t="s">
        <v>1052</v>
      </c>
    </row>
    <row r="548" customFormat="false" ht="15" hidden="false" customHeight="false" outlineLevel="0" collapsed="false">
      <c r="A548" s="5" t="s">
        <v>109</v>
      </c>
      <c r="B548" s="5" t="s">
        <v>90</v>
      </c>
      <c r="C548" s="5" t="s">
        <v>749</v>
      </c>
      <c r="D548" s="5" t="s">
        <v>733</v>
      </c>
      <c r="E548" s="5" t="s">
        <v>550</v>
      </c>
      <c r="F548" s="5" t="s">
        <v>1055</v>
      </c>
      <c r="G548" s="5" t="s">
        <v>1052</v>
      </c>
    </row>
    <row r="549" customFormat="false" ht="15" hidden="false" customHeight="false" outlineLevel="0" collapsed="false">
      <c r="A549" s="5" t="s">
        <v>109</v>
      </c>
      <c r="B549" s="5" t="s">
        <v>90</v>
      </c>
      <c r="C549" s="5" t="s">
        <v>750</v>
      </c>
      <c r="D549" s="5" t="s">
        <v>733</v>
      </c>
      <c r="E549" s="5" t="s">
        <v>118</v>
      </c>
      <c r="F549" s="5" t="s">
        <v>1055</v>
      </c>
      <c r="G549" s="5" t="s">
        <v>1052</v>
      </c>
    </row>
    <row r="550" customFormat="false" ht="15" hidden="false" customHeight="false" outlineLevel="0" collapsed="false">
      <c r="A550" s="5" t="s">
        <v>109</v>
      </c>
      <c r="B550" s="5" t="s">
        <v>90</v>
      </c>
      <c r="C550" s="5" t="s">
        <v>751</v>
      </c>
      <c r="D550" s="5" t="s">
        <v>733</v>
      </c>
      <c r="E550" s="5" t="s">
        <v>120</v>
      </c>
      <c r="F550" s="5" t="s">
        <v>1055</v>
      </c>
      <c r="G550" s="5" t="s">
        <v>1052</v>
      </c>
    </row>
    <row r="551" customFormat="false" ht="15" hidden="false" customHeight="false" outlineLevel="0" collapsed="false">
      <c r="A551" s="5" t="s">
        <v>109</v>
      </c>
      <c r="B551" s="5" t="s">
        <v>90</v>
      </c>
      <c r="C551" s="5" t="s">
        <v>752</v>
      </c>
      <c r="D551" s="5" t="s">
        <v>733</v>
      </c>
      <c r="E551" s="5" t="s">
        <v>554</v>
      </c>
      <c r="F551" s="5" t="s">
        <v>1055</v>
      </c>
      <c r="G551" s="5" t="s">
        <v>1052</v>
      </c>
    </row>
    <row r="552" customFormat="false" ht="15" hidden="false" customHeight="false" outlineLevel="0" collapsed="false">
      <c r="A552" s="5" t="s">
        <v>109</v>
      </c>
      <c r="B552" s="5" t="s">
        <v>90</v>
      </c>
      <c r="C552" s="5" t="s">
        <v>753</v>
      </c>
      <c r="D552" s="5" t="s">
        <v>754</v>
      </c>
      <c r="E552" s="5" t="s">
        <v>522</v>
      </c>
      <c r="F552" s="5" t="s">
        <v>1051</v>
      </c>
      <c r="G552" s="5" t="s">
        <v>1052</v>
      </c>
    </row>
    <row r="553" customFormat="false" ht="15" hidden="false" customHeight="false" outlineLevel="0" collapsed="false">
      <c r="A553" s="5" t="s">
        <v>109</v>
      </c>
      <c r="B553" s="5" t="s">
        <v>90</v>
      </c>
      <c r="C553" s="5" t="s">
        <v>755</v>
      </c>
      <c r="D553" s="5" t="s">
        <v>754</v>
      </c>
      <c r="E553" s="5" t="s">
        <v>524</v>
      </c>
      <c r="F553" s="5" t="s">
        <v>1051</v>
      </c>
      <c r="G553" s="5" t="s">
        <v>1052</v>
      </c>
    </row>
    <row r="554" customFormat="false" ht="15" hidden="false" customHeight="false" outlineLevel="0" collapsed="false">
      <c r="A554" s="5" t="s">
        <v>109</v>
      </c>
      <c r="B554" s="5" t="s">
        <v>90</v>
      </c>
      <c r="C554" s="5" t="s">
        <v>756</v>
      </c>
      <c r="D554" s="5" t="s">
        <v>754</v>
      </c>
      <c r="E554" s="5" t="s">
        <v>526</v>
      </c>
      <c r="F554" s="5" t="s">
        <v>1051</v>
      </c>
      <c r="G554" s="5" t="s">
        <v>1052</v>
      </c>
    </row>
    <row r="555" customFormat="false" ht="15" hidden="false" customHeight="false" outlineLevel="0" collapsed="false">
      <c r="A555" s="5" t="s">
        <v>109</v>
      </c>
      <c r="B555" s="5" t="s">
        <v>90</v>
      </c>
      <c r="C555" s="5" t="s">
        <v>757</v>
      </c>
      <c r="D555" s="5" t="s">
        <v>754</v>
      </c>
      <c r="E555" s="5" t="s">
        <v>528</v>
      </c>
      <c r="F555" s="5" t="s">
        <v>1051</v>
      </c>
      <c r="G555" s="5" t="s">
        <v>1052</v>
      </c>
    </row>
    <row r="556" customFormat="false" ht="15" hidden="false" customHeight="false" outlineLevel="0" collapsed="false">
      <c r="A556" s="5" t="s">
        <v>109</v>
      </c>
      <c r="B556" s="5" t="s">
        <v>90</v>
      </c>
      <c r="C556" s="5" t="s">
        <v>758</v>
      </c>
      <c r="D556" s="5" t="s">
        <v>754</v>
      </c>
      <c r="E556" s="5" t="s">
        <v>530</v>
      </c>
      <c r="F556" s="5" t="s">
        <v>1051</v>
      </c>
      <c r="G556" s="5" t="s">
        <v>1052</v>
      </c>
    </row>
    <row r="557" customFormat="false" ht="15" hidden="false" customHeight="false" outlineLevel="0" collapsed="false">
      <c r="A557" s="5" t="s">
        <v>109</v>
      </c>
      <c r="B557" s="5" t="s">
        <v>90</v>
      </c>
      <c r="C557" s="5" t="s">
        <v>759</v>
      </c>
      <c r="D557" s="5" t="s">
        <v>754</v>
      </c>
      <c r="E557" s="5" t="s">
        <v>112</v>
      </c>
      <c r="F557" s="5" t="s">
        <v>1051</v>
      </c>
      <c r="G557" s="5" t="s">
        <v>1052</v>
      </c>
    </row>
    <row r="558" customFormat="false" ht="15" hidden="false" customHeight="false" outlineLevel="0" collapsed="false">
      <c r="A558" s="5" t="s">
        <v>109</v>
      </c>
      <c r="B558" s="5" t="s">
        <v>90</v>
      </c>
      <c r="C558" s="5" t="s">
        <v>760</v>
      </c>
      <c r="D558" s="5" t="s">
        <v>754</v>
      </c>
      <c r="E558" s="5" t="s">
        <v>533</v>
      </c>
      <c r="F558" s="5" t="s">
        <v>1051</v>
      </c>
      <c r="G558" s="5" t="s">
        <v>1052</v>
      </c>
    </row>
    <row r="559" customFormat="false" ht="15" hidden="false" customHeight="false" outlineLevel="0" collapsed="false">
      <c r="A559" s="5" t="s">
        <v>109</v>
      </c>
      <c r="B559" s="5" t="s">
        <v>90</v>
      </c>
      <c r="C559" s="5" t="s">
        <v>761</v>
      </c>
      <c r="D559" s="5" t="s">
        <v>754</v>
      </c>
      <c r="E559" s="5" t="s">
        <v>123</v>
      </c>
      <c r="F559" s="5" t="s">
        <v>1051</v>
      </c>
      <c r="G559" s="5" t="s">
        <v>1052</v>
      </c>
    </row>
    <row r="560" customFormat="false" ht="15" hidden="false" customHeight="false" outlineLevel="0" collapsed="false">
      <c r="A560" s="5" t="s">
        <v>109</v>
      </c>
      <c r="B560" s="5" t="s">
        <v>90</v>
      </c>
      <c r="C560" s="5" t="s">
        <v>762</v>
      </c>
      <c r="D560" s="5" t="s">
        <v>754</v>
      </c>
      <c r="E560" s="5" t="s">
        <v>536</v>
      </c>
      <c r="F560" s="5" t="s">
        <v>1051</v>
      </c>
      <c r="G560" s="5" t="s">
        <v>1052</v>
      </c>
    </row>
    <row r="561" customFormat="false" ht="15" hidden="false" customHeight="false" outlineLevel="0" collapsed="false">
      <c r="A561" s="5" t="s">
        <v>109</v>
      </c>
      <c r="B561" s="5" t="s">
        <v>90</v>
      </c>
      <c r="C561" s="5" t="s">
        <v>763</v>
      </c>
      <c r="D561" s="5" t="s">
        <v>754</v>
      </c>
      <c r="E561" s="5" t="s">
        <v>538</v>
      </c>
      <c r="F561" s="5" t="s">
        <v>1051</v>
      </c>
      <c r="G561" s="5" t="s">
        <v>1052</v>
      </c>
    </row>
    <row r="562" customFormat="false" ht="15" hidden="false" customHeight="false" outlineLevel="0" collapsed="false">
      <c r="A562" s="5" t="s">
        <v>109</v>
      </c>
      <c r="B562" s="5" t="s">
        <v>90</v>
      </c>
      <c r="C562" s="5" t="s">
        <v>764</v>
      </c>
      <c r="D562" s="5" t="s">
        <v>754</v>
      </c>
      <c r="E562" s="5" t="s">
        <v>540</v>
      </c>
      <c r="F562" s="5" t="s">
        <v>1051</v>
      </c>
      <c r="G562" s="5" t="s">
        <v>1052</v>
      </c>
    </row>
    <row r="563" customFormat="false" ht="15" hidden="false" customHeight="false" outlineLevel="0" collapsed="false">
      <c r="A563" s="5" t="s">
        <v>109</v>
      </c>
      <c r="B563" s="5" t="s">
        <v>90</v>
      </c>
      <c r="C563" s="5" t="s">
        <v>765</v>
      </c>
      <c r="D563" s="5" t="s">
        <v>754</v>
      </c>
      <c r="E563" s="5" t="s">
        <v>114</v>
      </c>
      <c r="F563" s="5" t="s">
        <v>1055</v>
      </c>
      <c r="G563" s="5" t="s">
        <v>1052</v>
      </c>
    </row>
    <row r="564" customFormat="false" ht="15" hidden="false" customHeight="false" outlineLevel="0" collapsed="false">
      <c r="A564" s="5" t="s">
        <v>109</v>
      </c>
      <c r="B564" s="5" t="s">
        <v>90</v>
      </c>
      <c r="C564" s="5" t="s">
        <v>766</v>
      </c>
      <c r="D564" s="5" t="s">
        <v>754</v>
      </c>
      <c r="E564" s="5" t="s">
        <v>116</v>
      </c>
      <c r="F564" s="5" t="s">
        <v>1055</v>
      </c>
      <c r="G564" s="5" t="s">
        <v>1052</v>
      </c>
    </row>
    <row r="565" customFormat="false" ht="15" hidden="false" customHeight="false" outlineLevel="0" collapsed="false">
      <c r="A565" s="5" t="s">
        <v>109</v>
      </c>
      <c r="B565" s="5" t="s">
        <v>90</v>
      </c>
      <c r="C565" s="5" t="s">
        <v>767</v>
      </c>
      <c r="D565" s="5" t="s">
        <v>754</v>
      </c>
      <c r="E565" s="5" t="s">
        <v>544</v>
      </c>
      <c r="F565" s="5" t="s">
        <v>1055</v>
      </c>
      <c r="G565" s="5" t="s">
        <v>1052</v>
      </c>
    </row>
    <row r="566" customFormat="false" ht="15" hidden="false" customHeight="false" outlineLevel="0" collapsed="false">
      <c r="A566" s="5" t="s">
        <v>109</v>
      </c>
      <c r="B566" s="5" t="s">
        <v>90</v>
      </c>
      <c r="C566" s="5" t="s">
        <v>768</v>
      </c>
      <c r="D566" s="5" t="s">
        <v>754</v>
      </c>
      <c r="E566" s="5" t="s">
        <v>546</v>
      </c>
      <c r="F566" s="5" t="s">
        <v>1055</v>
      </c>
      <c r="G566" s="5" t="s">
        <v>1052</v>
      </c>
    </row>
    <row r="567" customFormat="false" ht="15" hidden="false" customHeight="false" outlineLevel="0" collapsed="false">
      <c r="A567" s="5" t="s">
        <v>109</v>
      </c>
      <c r="B567" s="5" t="s">
        <v>90</v>
      </c>
      <c r="C567" s="5" t="s">
        <v>769</v>
      </c>
      <c r="D567" s="5" t="s">
        <v>754</v>
      </c>
      <c r="E567" s="5" t="s">
        <v>548</v>
      </c>
      <c r="F567" s="5" t="s">
        <v>1055</v>
      </c>
      <c r="G567" s="5" t="s">
        <v>1052</v>
      </c>
    </row>
    <row r="568" customFormat="false" ht="15" hidden="false" customHeight="false" outlineLevel="0" collapsed="false">
      <c r="A568" s="5" t="s">
        <v>109</v>
      </c>
      <c r="B568" s="5" t="s">
        <v>90</v>
      </c>
      <c r="C568" s="5" t="s">
        <v>770</v>
      </c>
      <c r="D568" s="5" t="s">
        <v>754</v>
      </c>
      <c r="E568" s="5" t="s">
        <v>550</v>
      </c>
      <c r="F568" s="5" t="s">
        <v>1055</v>
      </c>
      <c r="G568" s="5" t="s">
        <v>1052</v>
      </c>
    </row>
    <row r="569" customFormat="false" ht="15" hidden="false" customHeight="false" outlineLevel="0" collapsed="false">
      <c r="A569" s="5" t="s">
        <v>109</v>
      </c>
      <c r="B569" s="5" t="s">
        <v>90</v>
      </c>
      <c r="C569" s="5" t="s">
        <v>771</v>
      </c>
      <c r="D569" s="5" t="s">
        <v>754</v>
      </c>
      <c r="E569" s="5" t="s">
        <v>118</v>
      </c>
      <c r="F569" s="5" t="s">
        <v>1055</v>
      </c>
      <c r="G569" s="5" t="s">
        <v>1052</v>
      </c>
    </row>
    <row r="570" customFormat="false" ht="15" hidden="false" customHeight="false" outlineLevel="0" collapsed="false">
      <c r="A570" s="5" t="s">
        <v>109</v>
      </c>
      <c r="B570" s="5" t="s">
        <v>90</v>
      </c>
      <c r="C570" s="5" t="s">
        <v>772</v>
      </c>
      <c r="D570" s="5" t="s">
        <v>754</v>
      </c>
      <c r="E570" s="5" t="s">
        <v>120</v>
      </c>
      <c r="F570" s="5" t="s">
        <v>1055</v>
      </c>
      <c r="G570" s="5" t="s">
        <v>1052</v>
      </c>
    </row>
    <row r="571" customFormat="false" ht="15" hidden="false" customHeight="false" outlineLevel="0" collapsed="false">
      <c r="A571" s="5" t="s">
        <v>109</v>
      </c>
      <c r="B571" s="5" t="s">
        <v>90</v>
      </c>
      <c r="C571" s="5" t="s">
        <v>773</v>
      </c>
      <c r="D571" s="5" t="s">
        <v>754</v>
      </c>
      <c r="E571" s="5" t="s">
        <v>554</v>
      </c>
      <c r="F571" s="5" t="s">
        <v>1055</v>
      </c>
      <c r="G571" s="5" t="s">
        <v>1052</v>
      </c>
    </row>
    <row r="572" customFormat="false" ht="15" hidden="false" customHeight="false" outlineLevel="0" collapsed="false">
      <c r="A572" s="5" t="s">
        <v>109</v>
      </c>
      <c r="B572" s="5" t="s">
        <v>105</v>
      </c>
      <c r="C572" s="5" t="s">
        <v>774</v>
      </c>
      <c r="D572" s="5" t="s">
        <v>775</v>
      </c>
      <c r="E572" s="5" t="s">
        <v>130</v>
      </c>
      <c r="F572" s="5" t="s">
        <v>1056</v>
      </c>
      <c r="G572" s="5" t="s">
        <v>1052</v>
      </c>
    </row>
    <row r="573" customFormat="false" ht="15" hidden="false" customHeight="false" outlineLevel="0" collapsed="false">
      <c r="A573" s="5" t="s">
        <v>109</v>
      </c>
      <c r="B573" s="5" t="s">
        <v>105</v>
      </c>
      <c r="C573" s="5" t="s">
        <v>776</v>
      </c>
      <c r="D573" s="5" t="s">
        <v>775</v>
      </c>
      <c r="E573" s="5" t="s">
        <v>114</v>
      </c>
      <c r="F573" s="5" t="s">
        <v>1055</v>
      </c>
      <c r="G573" s="5" t="s">
        <v>1052</v>
      </c>
    </row>
    <row r="574" customFormat="false" ht="15" hidden="false" customHeight="false" outlineLevel="0" collapsed="false">
      <c r="A574" s="5" t="s">
        <v>109</v>
      </c>
      <c r="B574" s="5" t="s">
        <v>105</v>
      </c>
      <c r="C574" s="5" t="s">
        <v>777</v>
      </c>
      <c r="D574" s="5" t="s">
        <v>775</v>
      </c>
      <c r="E574" s="5" t="s">
        <v>116</v>
      </c>
      <c r="F574" s="5" t="s">
        <v>1055</v>
      </c>
      <c r="G574" s="5" t="s">
        <v>1052</v>
      </c>
    </row>
    <row r="575" customFormat="false" ht="15" hidden="false" customHeight="false" outlineLevel="0" collapsed="false">
      <c r="A575" s="5" t="s">
        <v>109</v>
      </c>
      <c r="B575" s="5" t="s">
        <v>105</v>
      </c>
      <c r="C575" s="5" t="s">
        <v>778</v>
      </c>
      <c r="D575" s="5" t="s">
        <v>775</v>
      </c>
      <c r="E575" s="5" t="s">
        <v>544</v>
      </c>
      <c r="F575" s="5" t="s">
        <v>1055</v>
      </c>
      <c r="G575" s="5" t="s">
        <v>1052</v>
      </c>
    </row>
    <row r="576" customFormat="false" ht="15" hidden="false" customHeight="false" outlineLevel="0" collapsed="false">
      <c r="A576" s="5" t="s">
        <v>109</v>
      </c>
      <c r="B576" s="5" t="s">
        <v>105</v>
      </c>
      <c r="C576" s="5" t="s">
        <v>779</v>
      </c>
      <c r="D576" s="5" t="s">
        <v>775</v>
      </c>
      <c r="E576" s="5" t="s">
        <v>546</v>
      </c>
      <c r="F576" s="5" t="s">
        <v>1055</v>
      </c>
      <c r="G576" s="5" t="s">
        <v>1052</v>
      </c>
    </row>
    <row r="577" customFormat="false" ht="15" hidden="false" customHeight="false" outlineLevel="0" collapsed="false">
      <c r="A577" s="5" t="s">
        <v>109</v>
      </c>
      <c r="B577" s="5" t="s">
        <v>105</v>
      </c>
      <c r="C577" s="5" t="s">
        <v>780</v>
      </c>
      <c r="D577" s="5" t="s">
        <v>775</v>
      </c>
      <c r="E577" s="5" t="s">
        <v>548</v>
      </c>
      <c r="F577" s="5" t="s">
        <v>1055</v>
      </c>
      <c r="G577" s="5" t="s">
        <v>1052</v>
      </c>
    </row>
    <row r="578" customFormat="false" ht="15" hidden="false" customHeight="false" outlineLevel="0" collapsed="false">
      <c r="A578" s="5" t="s">
        <v>109</v>
      </c>
      <c r="B578" s="5" t="s">
        <v>105</v>
      </c>
      <c r="C578" s="5" t="s">
        <v>781</v>
      </c>
      <c r="D578" s="5" t="s">
        <v>775</v>
      </c>
      <c r="E578" s="5" t="s">
        <v>550</v>
      </c>
      <c r="F578" s="5" t="s">
        <v>1055</v>
      </c>
      <c r="G578" s="5" t="s">
        <v>1052</v>
      </c>
    </row>
    <row r="579" customFormat="false" ht="15" hidden="false" customHeight="false" outlineLevel="0" collapsed="false">
      <c r="A579" s="5" t="s">
        <v>109</v>
      </c>
      <c r="B579" s="5" t="s">
        <v>105</v>
      </c>
      <c r="C579" s="5" t="s">
        <v>782</v>
      </c>
      <c r="D579" s="5" t="s">
        <v>775</v>
      </c>
      <c r="E579" s="5" t="s">
        <v>118</v>
      </c>
      <c r="F579" s="5" t="s">
        <v>1055</v>
      </c>
      <c r="G579" s="5" t="s">
        <v>1052</v>
      </c>
    </row>
    <row r="580" customFormat="false" ht="15" hidden="false" customHeight="false" outlineLevel="0" collapsed="false">
      <c r="A580" s="5" t="s">
        <v>109</v>
      </c>
      <c r="B580" s="5" t="s">
        <v>105</v>
      </c>
      <c r="C580" s="5" t="s">
        <v>783</v>
      </c>
      <c r="D580" s="5" t="s">
        <v>775</v>
      </c>
      <c r="E580" s="5" t="s">
        <v>120</v>
      </c>
      <c r="F580" s="5" t="s">
        <v>1055</v>
      </c>
      <c r="G580" s="5" t="s">
        <v>1052</v>
      </c>
    </row>
    <row r="581" customFormat="false" ht="15" hidden="false" customHeight="false" outlineLevel="0" collapsed="false">
      <c r="A581" s="5" t="s">
        <v>109</v>
      </c>
      <c r="B581" s="5" t="s">
        <v>105</v>
      </c>
      <c r="C581" s="5" t="s">
        <v>784</v>
      </c>
      <c r="D581" s="5" t="s">
        <v>775</v>
      </c>
      <c r="E581" s="5" t="s">
        <v>554</v>
      </c>
      <c r="F581" s="5" t="s">
        <v>1055</v>
      </c>
      <c r="G581" s="5" t="s">
        <v>1052</v>
      </c>
    </row>
    <row r="582" customFormat="false" ht="15" hidden="false" customHeight="false" outlineLevel="0" collapsed="false">
      <c r="A582" s="5" t="s">
        <v>109</v>
      </c>
      <c r="B582" s="5" t="s">
        <v>105</v>
      </c>
      <c r="C582" s="5" t="s">
        <v>785</v>
      </c>
      <c r="D582" s="5" t="s">
        <v>786</v>
      </c>
      <c r="E582" s="5" t="s">
        <v>130</v>
      </c>
      <c r="F582" s="5" t="s">
        <v>1056</v>
      </c>
      <c r="G582" s="5" t="s">
        <v>1052</v>
      </c>
    </row>
    <row r="583" customFormat="false" ht="15" hidden="false" customHeight="false" outlineLevel="0" collapsed="false">
      <c r="A583" s="5" t="s">
        <v>109</v>
      </c>
      <c r="B583" s="5" t="s">
        <v>105</v>
      </c>
      <c r="C583" s="5" t="s">
        <v>787</v>
      </c>
      <c r="D583" s="5" t="s">
        <v>786</v>
      </c>
      <c r="E583" s="5" t="s">
        <v>114</v>
      </c>
      <c r="F583" s="5" t="s">
        <v>1055</v>
      </c>
      <c r="G583" s="5" t="s">
        <v>1052</v>
      </c>
    </row>
    <row r="584" customFormat="false" ht="15" hidden="false" customHeight="false" outlineLevel="0" collapsed="false">
      <c r="A584" s="5" t="s">
        <v>109</v>
      </c>
      <c r="B584" s="5" t="s">
        <v>105</v>
      </c>
      <c r="C584" s="5" t="s">
        <v>788</v>
      </c>
      <c r="D584" s="5" t="s">
        <v>786</v>
      </c>
      <c r="E584" s="5" t="s">
        <v>116</v>
      </c>
      <c r="F584" s="5" t="s">
        <v>1055</v>
      </c>
      <c r="G584" s="5" t="s">
        <v>1052</v>
      </c>
    </row>
    <row r="585" customFormat="false" ht="15" hidden="false" customHeight="false" outlineLevel="0" collapsed="false">
      <c r="A585" s="5" t="s">
        <v>109</v>
      </c>
      <c r="B585" s="5" t="s">
        <v>105</v>
      </c>
      <c r="C585" s="5" t="s">
        <v>789</v>
      </c>
      <c r="D585" s="5" t="s">
        <v>786</v>
      </c>
      <c r="E585" s="5" t="s">
        <v>544</v>
      </c>
      <c r="F585" s="5" t="s">
        <v>1055</v>
      </c>
      <c r="G585" s="5" t="s">
        <v>1052</v>
      </c>
    </row>
    <row r="586" customFormat="false" ht="15" hidden="false" customHeight="false" outlineLevel="0" collapsed="false">
      <c r="A586" s="5" t="s">
        <v>109</v>
      </c>
      <c r="B586" s="5" t="s">
        <v>105</v>
      </c>
      <c r="C586" s="5" t="s">
        <v>790</v>
      </c>
      <c r="D586" s="5" t="s">
        <v>786</v>
      </c>
      <c r="E586" s="5" t="s">
        <v>546</v>
      </c>
      <c r="F586" s="5" t="s">
        <v>1055</v>
      </c>
      <c r="G586" s="5" t="s">
        <v>1052</v>
      </c>
    </row>
    <row r="587" customFormat="false" ht="15" hidden="false" customHeight="false" outlineLevel="0" collapsed="false">
      <c r="A587" s="5" t="s">
        <v>109</v>
      </c>
      <c r="B587" s="5" t="s">
        <v>105</v>
      </c>
      <c r="C587" s="5" t="s">
        <v>791</v>
      </c>
      <c r="D587" s="5" t="s">
        <v>786</v>
      </c>
      <c r="E587" s="5" t="s">
        <v>548</v>
      </c>
      <c r="F587" s="5" t="s">
        <v>1055</v>
      </c>
      <c r="G587" s="5" t="s">
        <v>1052</v>
      </c>
    </row>
    <row r="588" customFormat="false" ht="15" hidden="false" customHeight="false" outlineLevel="0" collapsed="false">
      <c r="A588" s="5" t="s">
        <v>109</v>
      </c>
      <c r="B588" s="5" t="s">
        <v>105</v>
      </c>
      <c r="C588" s="5" t="s">
        <v>792</v>
      </c>
      <c r="D588" s="5" t="s">
        <v>786</v>
      </c>
      <c r="E588" s="5" t="s">
        <v>550</v>
      </c>
      <c r="F588" s="5" t="s">
        <v>1055</v>
      </c>
      <c r="G588" s="5" t="s">
        <v>1052</v>
      </c>
    </row>
    <row r="589" customFormat="false" ht="15" hidden="false" customHeight="false" outlineLevel="0" collapsed="false">
      <c r="A589" s="5" t="s">
        <v>109</v>
      </c>
      <c r="B589" s="5" t="s">
        <v>105</v>
      </c>
      <c r="C589" s="5" t="s">
        <v>793</v>
      </c>
      <c r="D589" s="5" t="s">
        <v>786</v>
      </c>
      <c r="E589" s="5" t="s">
        <v>118</v>
      </c>
      <c r="F589" s="5" t="s">
        <v>1055</v>
      </c>
      <c r="G589" s="5" t="s">
        <v>1052</v>
      </c>
    </row>
    <row r="590" customFormat="false" ht="15" hidden="false" customHeight="false" outlineLevel="0" collapsed="false">
      <c r="A590" s="5" t="s">
        <v>109</v>
      </c>
      <c r="B590" s="5" t="s">
        <v>105</v>
      </c>
      <c r="C590" s="5" t="s">
        <v>794</v>
      </c>
      <c r="D590" s="5" t="s">
        <v>786</v>
      </c>
      <c r="E590" s="5" t="s">
        <v>120</v>
      </c>
      <c r="F590" s="5" t="s">
        <v>1055</v>
      </c>
      <c r="G590" s="5" t="s">
        <v>1052</v>
      </c>
    </row>
    <row r="591" customFormat="false" ht="15" hidden="false" customHeight="false" outlineLevel="0" collapsed="false">
      <c r="A591" s="5" t="s">
        <v>109</v>
      </c>
      <c r="B591" s="5" t="s">
        <v>105</v>
      </c>
      <c r="C591" s="5" t="s">
        <v>795</v>
      </c>
      <c r="D591" s="5" t="s">
        <v>786</v>
      </c>
      <c r="E591" s="5" t="s">
        <v>554</v>
      </c>
      <c r="F591" s="5" t="s">
        <v>1055</v>
      </c>
      <c r="G591" s="5" t="s">
        <v>1052</v>
      </c>
    </row>
    <row r="592" customFormat="false" ht="15" hidden="false" customHeight="false" outlineLevel="0" collapsed="false">
      <c r="A592" s="5" t="s">
        <v>109</v>
      </c>
      <c r="B592" s="5" t="s">
        <v>105</v>
      </c>
      <c r="C592" s="5" t="s">
        <v>796</v>
      </c>
      <c r="D592" s="5" t="s">
        <v>797</v>
      </c>
      <c r="E592" s="5" t="s">
        <v>130</v>
      </c>
      <c r="F592" s="5" t="s">
        <v>1056</v>
      </c>
      <c r="G592" s="5" t="s">
        <v>1052</v>
      </c>
    </row>
    <row r="593" customFormat="false" ht="15" hidden="false" customHeight="false" outlineLevel="0" collapsed="false">
      <c r="A593" s="5" t="s">
        <v>109</v>
      </c>
      <c r="B593" s="5" t="s">
        <v>105</v>
      </c>
      <c r="C593" s="5" t="s">
        <v>798</v>
      </c>
      <c r="D593" s="5" t="s">
        <v>797</v>
      </c>
      <c r="E593" s="5" t="s">
        <v>114</v>
      </c>
      <c r="F593" s="5" t="s">
        <v>1055</v>
      </c>
      <c r="G593" s="5" t="s">
        <v>1052</v>
      </c>
    </row>
    <row r="594" customFormat="false" ht="15" hidden="false" customHeight="false" outlineLevel="0" collapsed="false">
      <c r="A594" s="5" t="s">
        <v>109</v>
      </c>
      <c r="B594" s="5" t="s">
        <v>105</v>
      </c>
      <c r="C594" s="5" t="s">
        <v>799</v>
      </c>
      <c r="D594" s="5" t="s">
        <v>797</v>
      </c>
      <c r="E594" s="5" t="s">
        <v>116</v>
      </c>
      <c r="F594" s="5" t="s">
        <v>1055</v>
      </c>
      <c r="G594" s="5" t="s">
        <v>1052</v>
      </c>
    </row>
    <row r="595" customFormat="false" ht="15" hidden="false" customHeight="false" outlineLevel="0" collapsed="false">
      <c r="A595" s="5" t="s">
        <v>109</v>
      </c>
      <c r="B595" s="5" t="s">
        <v>105</v>
      </c>
      <c r="C595" s="5" t="s">
        <v>800</v>
      </c>
      <c r="D595" s="5" t="s">
        <v>797</v>
      </c>
      <c r="E595" s="5" t="s">
        <v>544</v>
      </c>
      <c r="F595" s="5" t="s">
        <v>1055</v>
      </c>
      <c r="G595" s="5" t="s">
        <v>1052</v>
      </c>
    </row>
    <row r="596" customFormat="false" ht="15" hidden="false" customHeight="false" outlineLevel="0" collapsed="false">
      <c r="A596" s="5" t="s">
        <v>109</v>
      </c>
      <c r="B596" s="5" t="s">
        <v>105</v>
      </c>
      <c r="C596" s="5" t="s">
        <v>801</v>
      </c>
      <c r="D596" s="5" t="s">
        <v>797</v>
      </c>
      <c r="E596" s="5" t="s">
        <v>546</v>
      </c>
      <c r="F596" s="5" t="s">
        <v>1055</v>
      </c>
      <c r="G596" s="5" t="s">
        <v>1052</v>
      </c>
    </row>
    <row r="597" customFormat="false" ht="15" hidden="false" customHeight="false" outlineLevel="0" collapsed="false">
      <c r="A597" s="5" t="s">
        <v>109</v>
      </c>
      <c r="B597" s="5" t="s">
        <v>105</v>
      </c>
      <c r="C597" s="5" t="s">
        <v>802</v>
      </c>
      <c r="D597" s="5" t="s">
        <v>797</v>
      </c>
      <c r="E597" s="5" t="s">
        <v>548</v>
      </c>
      <c r="F597" s="5" t="s">
        <v>1055</v>
      </c>
      <c r="G597" s="5" t="s">
        <v>1052</v>
      </c>
    </row>
    <row r="598" customFormat="false" ht="15" hidden="false" customHeight="false" outlineLevel="0" collapsed="false">
      <c r="A598" s="5" t="s">
        <v>109</v>
      </c>
      <c r="B598" s="5" t="s">
        <v>105</v>
      </c>
      <c r="C598" s="5" t="s">
        <v>803</v>
      </c>
      <c r="D598" s="5" t="s">
        <v>797</v>
      </c>
      <c r="E598" s="5" t="s">
        <v>550</v>
      </c>
      <c r="F598" s="5" t="s">
        <v>1055</v>
      </c>
      <c r="G598" s="5" t="s">
        <v>1052</v>
      </c>
    </row>
    <row r="599" customFormat="false" ht="15" hidden="false" customHeight="false" outlineLevel="0" collapsed="false">
      <c r="A599" s="5" t="s">
        <v>109</v>
      </c>
      <c r="B599" s="5" t="s">
        <v>105</v>
      </c>
      <c r="C599" s="5" t="s">
        <v>804</v>
      </c>
      <c r="D599" s="5" t="s">
        <v>797</v>
      </c>
      <c r="E599" s="5" t="s">
        <v>118</v>
      </c>
      <c r="F599" s="5" t="s">
        <v>1055</v>
      </c>
      <c r="G599" s="5" t="s">
        <v>1052</v>
      </c>
    </row>
    <row r="600" customFormat="false" ht="15" hidden="false" customHeight="false" outlineLevel="0" collapsed="false">
      <c r="A600" s="5" t="s">
        <v>109</v>
      </c>
      <c r="B600" s="5" t="s">
        <v>105</v>
      </c>
      <c r="C600" s="5" t="s">
        <v>805</v>
      </c>
      <c r="D600" s="5" t="s">
        <v>797</v>
      </c>
      <c r="E600" s="5" t="s">
        <v>120</v>
      </c>
      <c r="F600" s="5" t="s">
        <v>1055</v>
      </c>
      <c r="G600" s="5" t="s">
        <v>1052</v>
      </c>
    </row>
    <row r="601" customFormat="false" ht="15" hidden="false" customHeight="false" outlineLevel="0" collapsed="false">
      <c r="A601" s="5" t="s">
        <v>109</v>
      </c>
      <c r="B601" s="5" t="s">
        <v>105</v>
      </c>
      <c r="C601" s="5" t="s">
        <v>806</v>
      </c>
      <c r="D601" s="5" t="s">
        <v>797</v>
      </c>
      <c r="E601" s="5" t="s">
        <v>554</v>
      </c>
      <c r="F601" s="5" t="s">
        <v>1055</v>
      </c>
      <c r="G601" s="5" t="s">
        <v>1052</v>
      </c>
    </row>
    <row r="602" customFormat="false" ht="15" hidden="false" customHeight="false" outlineLevel="0" collapsed="false">
      <c r="A602" s="5" t="s">
        <v>109</v>
      </c>
      <c r="B602" s="5" t="s">
        <v>105</v>
      </c>
      <c r="C602" s="5" t="s">
        <v>807</v>
      </c>
      <c r="D602" s="5" t="s">
        <v>808</v>
      </c>
      <c r="E602" s="5" t="s">
        <v>130</v>
      </c>
      <c r="F602" s="5" t="s">
        <v>1056</v>
      </c>
      <c r="G602" s="5" t="s">
        <v>1052</v>
      </c>
    </row>
    <row r="603" customFormat="false" ht="15" hidden="false" customHeight="false" outlineLevel="0" collapsed="false">
      <c r="A603" s="5" t="s">
        <v>109</v>
      </c>
      <c r="B603" s="5" t="s">
        <v>105</v>
      </c>
      <c r="C603" s="5" t="s">
        <v>809</v>
      </c>
      <c r="D603" s="5" t="s">
        <v>808</v>
      </c>
      <c r="E603" s="5" t="s">
        <v>114</v>
      </c>
      <c r="F603" s="5" t="s">
        <v>1055</v>
      </c>
      <c r="G603" s="5" t="s">
        <v>1052</v>
      </c>
    </row>
    <row r="604" customFormat="false" ht="15" hidden="false" customHeight="false" outlineLevel="0" collapsed="false">
      <c r="A604" s="5" t="s">
        <v>109</v>
      </c>
      <c r="B604" s="5" t="s">
        <v>105</v>
      </c>
      <c r="C604" s="5" t="s">
        <v>810</v>
      </c>
      <c r="D604" s="5" t="s">
        <v>808</v>
      </c>
      <c r="E604" s="5" t="s">
        <v>116</v>
      </c>
      <c r="F604" s="5" t="s">
        <v>1055</v>
      </c>
      <c r="G604" s="5" t="s">
        <v>1052</v>
      </c>
    </row>
    <row r="605" customFormat="false" ht="15" hidden="false" customHeight="false" outlineLevel="0" collapsed="false">
      <c r="A605" s="5" t="s">
        <v>109</v>
      </c>
      <c r="B605" s="5" t="s">
        <v>105</v>
      </c>
      <c r="C605" s="5" t="s">
        <v>811</v>
      </c>
      <c r="D605" s="5" t="s">
        <v>808</v>
      </c>
      <c r="E605" s="5" t="s">
        <v>544</v>
      </c>
      <c r="F605" s="5" t="s">
        <v>1055</v>
      </c>
      <c r="G605" s="5" t="s">
        <v>1052</v>
      </c>
    </row>
    <row r="606" customFormat="false" ht="15" hidden="false" customHeight="false" outlineLevel="0" collapsed="false">
      <c r="A606" s="5" t="s">
        <v>109</v>
      </c>
      <c r="B606" s="5" t="s">
        <v>105</v>
      </c>
      <c r="C606" s="5" t="s">
        <v>812</v>
      </c>
      <c r="D606" s="5" t="s">
        <v>808</v>
      </c>
      <c r="E606" s="5" t="s">
        <v>546</v>
      </c>
      <c r="F606" s="5" t="s">
        <v>1055</v>
      </c>
      <c r="G606" s="5" t="s">
        <v>1052</v>
      </c>
    </row>
    <row r="607" customFormat="false" ht="15" hidden="false" customHeight="false" outlineLevel="0" collapsed="false">
      <c r="A607" s="5" t="s">
        <v>109</v>
      </c>
      <c r="B607" s="5" t="s">
        <v>105</v>
      </c>
      <c r="C607" s="5" t="s">
        <v>813</v>
      </c>
      <c r="D607" s="5" t="s">
        <v>808</v>
      </c>
      <c r="E607" s="5" t="s">
        <v>548</v>
      </c>
      <c r="F607" s="5" t="s">
        <v>1055</v>
      </c>
      <c r="G607" s="5" t="s">
        <v>1052</v>
      </c>
    </row>
    <row r="608" customFormat="false" ht="15" hidden="false" customHeight="false" outlineLevel="0" collapsed="false">
      <c r="A608" s="5" t="s">
        <v>109</v>
      </c>
      <c r="B608" s="5" t="s">
        <v>105</v>
      </c>
      <c r="C608" s="5" t="s">
        <v>814</v>
      </c>
      <c r="D608" s="5" t="s">
        <v>808</v>
      </c>
      <c r="E608" s="5" t="s">
        <v>550</v>
      </c>
      <c r="F608" s="5" t="s">
        <v>1055</v>
      </c>
      <c r="G608" s="5" t="s">
        <v>1052</v>
      </c>
    </row>
    <row r="609" customFormat="false" ht="15" hidden="false" customHeight="false" outlineLevel="0" collapsed="false">
      <c r="A609" s="5" t="s">
        <v>109</v>
      </c>
      <c r="B609" s="5" t="s">
        <v>105</v>
      </c>
      <c r="C609" s="5" t="s">
        <v>815</v>
      </c>
      <c r="D609" s="5" t="s">
        <v>808</v>
      </c>
      <c r="E609" s="5" t="s">
        <v>118</v>
      </c>
      <c r="F609" s="5" t="s">
        <v>1055</v>
      </c>
      <c r="G609" s="5" t="s">
        <v>1052</v>
      </c>
    </row>
    <row r="610" customFormat="false" ht="15" hidden="false" customHeight="false" outlineLevel="0" collapsed="false">
      <c r="A610" s="5" t="s">
        <v>109</v>
      </c>
      <c r="B610" s="5" t="s">
        <v>105</v>
      </c>
      <c r="C610" s="5" t="s">
        <v>816</v>
      </c>
      <c r="D610" s="5" t="s">
        <v>808</v>
      </c>
      <c r="E610" s="5" t="s">
        <v>120</v>
      </c>
      <c r="F610" s="5" t="s">
        <v>1055</v>
      </c>
      <c r="G610" s="5" t="s">
        <v>1052</v>
      </c>
    </row>
    <row r="611" customFormat="false" ht="15" hidden="false" customHeight="false" outlineLevel="0" collapsed="false">
      <c r="A611" s="5" t="s">
        <v>109</v>
      </c>
      <c r="B611" s="5" t="s">
        <v>105</v>
      </c>
      <c r="C611" s="5" t="s">
        <v>817</v>
      </c>
      <c r="D611" s="5" t="s">
        <v>808</v>
      </c>
      <c r="E611" s="5" t="s">
        <v>554</v>
      </c>
      <c r="F611" s="5" t="s">
        <v>1055</v>
      </c>
      <c r="G611" s="5" t="s">
        <v>1052</v>
      </c>
    </row>
    <row r="612" customFormat="false" ht="15" hidden="false" customHeight="false" outlineLevel="0" collapsed="false">
      <c r="A612" s="5" t="s">
        <v>109</v>
      </c>
      <c r="B612" s="5" t="s">
        <v>105</v>
      </c>
      <c r="C612" s="5" t="s">
        <v>818</v>
      </c>
      <c r="D612" s="5" t="s">
        <v>819</v>
      </c>
      <c r="E612" s="5" t="s">
        <v>130</v>
      </c>
      <c r="F612" s="5" t="s">
        <v>1056</v>
      </c>
      <c r="G612" s="5" t="s">
        <v>1052</v>
      </c>
    </row>
    <row r="613" customFormat="false" ht="15" hidden="false" customHeight="false" outlineLevel="0" collapsed="false">
      <c r="A613" s="5" t="s">
        <v>109</v>
      </c>
      <c r="B613" s="5" t="s">
        <v>105</v>
      </c>
      <c r="C613" s="5" t="s">
        <v>820</v>
      </c>
      <c r="D613" s="5" t="s">
        <v>819</v>
      </c>
      <c r="E613" s="5" t="s">
        <v>114</v>
      </c>
      <c r="F613" s="5" t="s">
        <v>1055</v>
      </c>
      <c r="G613" s="5" t="s">
        <v>1052</v>
      </c>
    </row>
    <row r="614" customFormat="false" ht="15" hidden="false" customHeight="false" outlineLevel="0" collapsed="false">
      <c r="A614" s="5" t="s">
        <v>109</v>
      </c>
      <c r="B614" s="5" t="s">
        <v>105</v>
      </c>
      <c r="C614" s="5" t="s">
        <v>821</v>
      </c>
      <c r="D614" s="5" t="s">
        <v>819</v>
      </c>
      <c r="E614" s="5" t="s">
        <v>116</v>
      </c>
      <c r="F614" s="5" t="s">
        <v>1055</v>
      </c>
      <c r="G614" s="5" t="s">
        <v>1052</v>
      </c>
    </row>
    <row r="615" customFormat="false" ht="15" hidden="false" customHeight="false" outlineLevel="0" collapsed="false">
      <c r="A615" s="5" t="s">
        <v>109</v>
      </c>
      <c r="B615" s="5" t="s">
        <v>105</v>
      </c>
      <c r="C615" s="5" t="s">
        <v>822</v>
      </c>
      <c r="D615" s="5" t="s">
        <v>819</v>
      </c>
      <c r="E615" s="5" t="s">
        <v>544</v>
      </c>
      <c r="F615" s="5" t="s">
        <v>1055</v>
      </c>
      <c r="G615" s="5" t="s">
        <v>1052</v>
      </c>
    </row>
    <row r="616" customFormat="false" ht="15" hidden="false" customHeight="false" outlineLevel="0" collapsed="false">
      <c r="A616" s="5" t="s">
        <v>109</v>
      </c>
      <c r="B616" s="5" t="s">
        <v>105</v>
      </c>
      <c r="C616" s="5" t="s">
        <v>823</v>
      </c>
      <c r="D616" s="5" t="s">
        <v>819</v>
      </c>
      <c r="E616" s="5" t="s">
        <v>546</v>
      </c>
      <c r="F616" s="5" t="s">
        <v>1055</v>
      </c>
      <c r="G616" s="5" t="s">
        <v>1052</v>
      </c>
    </row>
    <row r="617" customFormat="false" ht="15" hidden="false" customHeight="false" outlineLevel="0" collapsed="false">
      <c r="A617" s="5" t="s">
        <v>109</v>
      </c>
      <c r="B617" s="5" t="s">
        <v>105</v>
      </c>
      <c r="C617" s="5" t="s">
        <v>824</v>
      </c>
      <c r="D617" s="5" t="s">
        <v>819</v>
      </c>
      <c r="E617" s="5" t="s">
        <v>548</v>
      </c>
      <c r="F617" s="5" t="s">
        <v>1055</v>
      </c>
      <c r="G617" s="5" t="s">
        <v>1052</v>
      </c>
    </row>
    <row r="618" customFormat="false" ht="15" hidden="false" customHeight="false" outlineLevel="0" collapsed="false">
      <c r="A618" s="5" t="s">
        <v>109</v>
      </c>
      <c r="B618" s="5" t="s">
        <v>105</v>
      </c>
      <c r="C618" s="5" t="s">
        <v>825</v>
      </c>
      <c r="D618" s="5" t="s">
        <v>819</v>
      </c>
      <c r="E618" s="5" t="s">
        <v>550</v>
      </c>
      <c r="F618" s="5" t="s">
        <v>1055</v>
      </c>
      <c r="G618" s="5" t="s">
        <v>1052</v>
      </c>
    </row>
    <row r="619" customFormat="false" ht="15" hidden="false" customHeight="false" outlineLevel="0" collapsed="false">
      <c r="A619" s="5" t="s">
        <v>109</v>
      </c>
      <c r="B619" s="5" t="s">
        <v>105</v>
      </c>
      <c r="C619" s="5" t="s">
        <v>826</v>
      </c>
      <c r="D619" s="5" t="s">
        <v>819</v>
      </c>
      <c r="E619" s="5" t="s">
        <v>118</v>
      </c>
      <c r="F619" s="5" t="s">
        <v>1055</v>
      </c>
      <c r="G619" s="5" t="s">
        <v>1052</v>
      </c>
    </row>
    <row r="620" customFormat="false" ht="15" hidden="false" customHeight="false" outlineLevel="0" collapsed="false">
      <c r="A620" s="5" t="s">
        <v>109</v>
      </c>
      <c r="B620" s="5" t="s">
        <v>105</v>
      </c>
      <c r="C620" s="5" t="s">
        <v>827</v>
      </c>
      <c r="D620" s="5" t="s">
        <v>819</v>
      </c>
      <c r="E620" s="5" t="s">
        <v>120</v>
      </c>
      <c r="F620" s="5" t="s">
        <v>1055</v>
      </c>
      <c r="G620" s="5" t="s">
        <v>1052</v>
      </c>
    </row>
    <row r="621" customFormat="false" ht="15" hidden="false" customHeight="false" outlineLevel="0" collapsed="false">
      <c r="A621" s="5" t="s">
        <v>109</v>
      </c>
      <c r="B621" s="5" t="s">
        <v>105</v>
      </c>
      <c r="C621" s="5" t="s">
        <v>828</v>
      </c>
      <c r="D621" s="5" t="s">
        <v>819</v>
      </c>
      <c r="E621" s="5" t="s">
        <v>554</v>
      </c>
      <c r="F621" s="5" t="s">
        <v>1055</v>
      </c>
      <c r="G621" s="5" t="s">
        <v>1052</v>
      </c>
    </row>
    <row r="622" customFormat="false" ht="15" hidden="false" customHeight="false" outlineLevel="0" collapsed="false">
      <c r="A622" s="5" t="s">
        <v>109</v>
      </c>
      <c r="B622" s="5" t="s">
        <v>105</v>
      </c>
      <c r="C622" s="5" t="s">
        <v>829</v>
      </c>
      <c r="D622" s="5" t="s">
        <v>830</v>
      </c>
      <c r="E622" s="5" t="s">
        <v>130</v>
      </c>
      <c r="F622" s="5" t="s">
        <v>1056</v>
      </c>
      <c r="G622" s="5" t="s">
        <v>1052</v>
      </c>
    </row>
    <row r="623" customFormat="false" ht="15" hidden="false" customHeight="false" outlineLevel="0" collapsed="false">
      <c r="A623" s="5" t="s">
        <v>109</v>
      </c>
      <c r="B623" s="5" t="s">
        <v>105</v>
      </c>
      <c r="C623" s="5" t="s">
        <v>831</v>
      </c>
      <c r="D623" s="5" t="s">
        <v>830</v>
      </c>
      <c r="E623" s="5" t="s">
        <v>114</v>
      </c>
      <c r="F623" s="5" t="s">
        <v>1055</v>
      </c>
      <c r="G623" s="5" t="s">
        <v>1052</v>
      </c>
    </row>
    <row r="624" customFormat="false" ht="15" hidden="false" customHeight="false" outlineLevel="0" collapsed="false">
      <c r="A624" s="5" t="s">
        <v>109</v>
      </c>
      <c r="B624" s="5" t="s">
        <v>105</v>
      </c>
      <c r="C624" s="5" t="s">
        <v>832</v>
      </c>
      <c r="D624" s="5" t="s">
        <v>830</v>
      </c>
      <c r="E624" s="5" t="s">
        <v>116</v>
      </c>
      <c r="F624" s="5" t="s">
        <v>1055</v>
      </c>
      <c r="G624" s="5" t="s">
        <v>1052</v>
      </c>
    </row>
    <row r="625" customFormat="false" ht="15" hidden="false" customHeight="false" outlineLevel="0" collapsed="false">
      <c r="A625" s="5" t="s">
        <v>109</v>
      </c>
      <c r="B625" s="5" t="s">
        <v>105</v>
      </c>
      <c r="C625" s="5" t="s">
        <v>833</v>
      </c>
      <c r="D625" s="5" t="s">
        <v>830</v>
      </c>
      <c r="E625" s="5" t="s">
        <v>544</v>
      </c>
      <c r="F625" s="5" t="s">
        <v>1055</v>
      </c>
      <c r="G625" s="5" t="s">
        <v>1052</v>
      </c>
    </row>
    <row r="626" customFormat="false" ht="15" hidden="false" customHeight="false" outlineLevel="0" collapsed="false">
      <c r="A626" s="5" t="s">
        <v>109</v>
      </c>
      <c r="B626" s="5" t="s">
        <v>105</v>
      </c>
      <c r="C626" s="5" t="s">
        <v>834</v>
      </c>
      <c r="D626" s="5" t="s">
        <v>830</v>
      </c>
      <c r="E626" s="5" t="s">
        <v>546</v>
      </c>
      <c r="F626" s="5" t="s">
        <v>1055</v>
      </c>
      <c r="G626" s="5" t="s">
        <v>1052</v>
      </c>
    </row>
    <row r="627" customFormat="false" ht="15" hidden="false" customHeight="false" outlineLevel="0" collapsed="false">
      <c r="A627" s="5" t="s">
        <v>109</v>
      </c>
      <c r="B627" s="5" t="s">
        <v>105</v>
      </c>
      <c r="C627" s="5" t="s">
        <v>835</v>
      </c>
      <c r="D627" s="5" t="s">
        <v>830</v>
      </c>
      <c r="E627" s="5" t="s">
        <v>548</v>
      </c>
      <c r="F627" s="5" t="s">
        <v>1055</v>
      </c>
      <c r="G627" s="5" t="s">
        <v>1052</v>
      </c>
    </row>
    <row r="628" customFormat="false" ht="15" hidden="false" customHeight="false" outlineLevel="0" collapsed="false">
      <c r="A628" s="5" t="s">
        <v>109</v>
      </c>
      <c r="B628" s="5" t="s">
        <v>105</v>
      </c>
      <c r="C628" s="5" t="s">
        <v>836</v>
      </c>
      <c r="D628" s="5" t="s">
        <v>830</v>
      </c>
      <c r="E628" s="5" t="s">
        <v>550</v>
      </c>
      <c r="F628" s="5" t="s">
        <v>1055</v>
      </c>
      <c r="G628" s="5" t="s">
        <v>1052</v>
      </c>
    </row>
    <row r="629" customFormat="false" ht="15" hidden="false" customHeight="false" outlineLevel="0" collapsed="false">
      <c r="A629" s="5" t="s">
        <v>109</v>
      </c>
      <c r="B629" s="5" t="s">
        <v>105</v>
      </c>
      <c r="C629" s="5" t="s">
        <v>837</v>
      </c>
      <c r="D629" s="5" t="s">
        <v>830</v>
      </c>
      <c r="E629" s="5" t="s">
        <v>118</v>
      </c>
      <c r="F629" s="5" t="s">
        <v>1055</v>
      </c>
      <c r="G629" s="5" t="s">
        <v>1052</v>
      </c>
    </row>
    <row r="630" customFormat="false" ht="15" hidden="false" customHeight="false" outlineLevel="0" collapsed="false">
      <c r="A630" s="5" t="s">
        <v>109</v>
      </c>
      <c r="B630" s="5" t="s">
        <v>105</v>
      </c>
      <c r="C630" s="5" t="s">
        <v>838</v>
      </c>
      <c r="D630" s="5" t="s">
        <v>830</v>
      </c>
      <c r="E630" s="5" t="s">
        <v>120</v>
      </c>
      <c r="F630" s="5" t="s">
        <v>1055</v>
      </c>
      <c r="G630" s="5" t="s">
        <v>1052</v>
      </c>
    </row>
    <row r="631" customFormat="false" ht="15" hidden="false" customHeight="false" outlineLevel="0" collapsed="false">
      <c r="A631" s="5" t="s">
        <v>109</v>
      </c>
      <c r="B631" s="5" t="s">
        <v>105</v>
      </c>
      <c r="C631" s="5" t="s">
        <v>839</v>
      </c>
      <c r="D631" s="5" t="s">
        <v>830</v>
      </c>
      <c r="E631" s="5" t="s">
        <v>554</v>
      </c>
      <c r="F631" s="5" t="s">
        <v>1055</v>
      </c>
      <c r="G631" s="5" t="s">
        <v>1052</v>
      </c>
    </row>
    <row r="632" customFormat="false" ht="15" hidden="false" customHeight="false" outlineLevel="0" collapsed="false">
      <c r="A632" s="5" t="s">
        <v>109</v>
      </c>
      <c r="B632" s="5" t="s">
        <v>105</v>
      </c>
      <c r="C632" s="5" t="s">
        <v>840</v>
      </c>
      <c r="D632" s="5" t="s">
        <v>841</v>
      </c>
      <c r="E632" s="5" t="s">
        <v>130</v>
      </c>
      <c r="F632" s="5" t="s">
        <v>1056</v>
      </c>
      <c r="G632" s="5" t="s">
        <v>1052</v>
      </c>
    </row>
    <row r="633" customFormat="false" ht="15" hidden="false" customHeight="false" outlineLevel="0" collapsed="false">
      <c r="A633" s="5" t="s">
        <v>109</v>
      </c>
      <c r="B633" s="5" t="s">
        <v>105</v>
      </c>
      <c r="C633" s="5" t="s">
        <v>842</v>
      </c>
      <c r="D633" s="5" t="s">
        <v>841</v>
      </c>
      <c r="E633" s="5" t="s">
        <v>114</v>
      </c>
      <c r="F633" s="5" t="s">
        <v>1055</v>
      </c>
      <c r="G633" s="5" t="s">
        <v>1052</v>
      </c>
    </row>
    <row r="634" customFormat="false" ht="15" hidden="false" customHeight="false" outlineLevel="0" collapsed="false">
      <c r="A634" s="5" t="s">
        <v>109</v>
      </c>
      <c r="B634" s="5" t="s">
        <v>105</v>
      </c>
      <c r="C634" s="5" t="s">
        <v>102</v>
      </c>
      <c r="D634" s="5" t="s">
        <v>841</v>
      </c>
      <c r="E634" s="5" t="s">
        <v>116</v>
      </c>
      <c r="F634" s="5" t="s">
        <v>1055</v>
      </c>
      <c r="G634" s="5" t="s">
        <v>1052</v>
      </c>
    </row>
    <row r="635" customFormat="false" ht="15" hidden="false" customHeight="false" outlineLevel="0" collapsed="false">
      <c r="A635" s="5" t="s">
        <v>109</v>
      </c>
      <c r="B635" s="5" t="s">
        <v>105</v>
      </c>
      <c r="C635" s="5" t="s">
        <v>843</v>
      </c>
      <c r="D635" s="5" t="s">
        <v>841</v>
      </c>
      <c r="E635" s="5" t="s">
        <v>544</v>
      </c>
      <c r="F635" s="5" t="s">
        <v>1055</v>
      </c>
      <c r="G635" s="5" t="s">
        <v>1052</v>
      </c>
    </row>
    <row r="636" customFormat="false" ht="15" hidden="false" customHeight="false" outlineLevel="0" collapsed="false">
      <c r="A636" s="5" t="s">
        <v>109</v>
      </c>
      <c r="B636" s="5" t="s">
        <v>105</v>
      </c>
      <c r="C636" s="5" t="s">
        <v>844</v>
      </c>
      <c r="D636" s="5" t="s">
        <v>841</v>
      </c>
      <c r="E636" s="5" t="s">
        <v>546</v>
      </c>
      <c r="F636" s="5" t="s">
        <v>1055</v>
      </c>
      <c r="G636" s="5" t="s">
        <v>1052</v>
      </c>
    </row>
    <row r="637" customFormat="false" ht="15" hidden="false" customHeight="false" outlineLevel="0" collapsed="false">
      <c r="A637" s="5" t="s">
        <v>109</v>
      </c>
      <c r="B637" s="5" t="s">
        <v>105</v>
      </c>
      <c r="C637" s="5" t="s">
        <v>845</v>
      </c>
      <c r="D637" s="5" t="s">
        <v>841</v>
      </c>
      <c r="E637" s="5" t="s">
        <v>548</v>
      </c>
      <c r="F637" s="5" t="s">
        <v>1055</v>
      </c>
      <c r="G637" s="5" t="s">
        <v>1052</v>
      </c>
    </row>
    <row r="638" customFormat="false" ht="15" hidden="false" customHeight="false" outlineLevel="0" collapsed="false">
      <c r="A638" s="5" t="s">
        <v>109</v>
      </c>
      <c r="B638" s="5" t="s">
        <v>105</v>
      </c>
      <c r="C638" s="5" t="s">
        <v>846</v>
      </c>
      <c r="D638" s="5" t="s">
        <v>841</v>
      </c>
      <c r="E638" s="5" t="s">
        <v>550</v>
      </c>
      <c r="F638" s="5" t="s">
        <v>1055</v>
      </c>
      <c r="G638" s="5" t="s">
        <v>1052</v>
      </c>
    </row>
    <row r="639" customFormat="false" ht="15" hidden="false" customHeight="false" outlineLevel="0" collapsed="false">
      <c r="A639" s="5" t="s">
        <v>109</v>
      </c>
      <c r="B639" s="5" t="s">
        <v>105</v>
      </c>
      <c r="C639" s="5" t="s">
        <v>847</v>
      </c>
      <c r="D639" s="5" t="s">
        <v>841</v>
      </c>
      <c r="E639" s="5" t="s">
        <v>118</v>
      </c>
      <c r="F639" s="5" t="s">
        <v>1055</v>
      </c>
      <c r="G639" s="5" t="s">
        <v>1052</v>
      </c>
    </row>
    <row r="640" customFormat="false" ht="15" hidden="false" customHeight="false" outlineLevel="0" collapsed="false">
      <c r="A640" s="5" t="s">
        <v>109</v>
      </c>
      <c r="B640" s="5" t="s">
        <v>105</v>
      </c>
      <c r="C640" s="5" t="s">
        <v>848</v>
      </c>
      <c r="D640" s="5" t="s">
        <v>841</v>
      </c>
      <c r="E640" s="5" t="s">
        <v>120</v>
      </c>
      <c r="F640" s="5" t="s">
        <v>1055</v>
      </c>
      <c r="G640" s="5" t="s">
        <v>1052</v>
      </c>
    </row>
    <row r="641" customFormat="false" ht="15" hidden="false" customHeight="false" outlineLevel="0" collapsed="false">
      <c r="A641" s="5" t="s">
        <v>109</v>
      </c>
      <c r="B641" s="5" t="s">
        <v>105</v>
      </c>
      <c r="C641" s="5" t="s">
        <v>849</v>
      </c>
      <c r="D641" s="5" t="s">
        <v>841</v>
      </c>
      <c r="E641" s="5" t="s">
        <v>554</v>
      </c>
      <c r="F641" s="5" t="s">
        <v>1055</v>
      </c>
      <c r="G641" s="5" t="s">
        <v>1052</v>
      </c>
    </row>
    <row r="642" customFormat="false" ht="15" hidden="false" customHeight="false" outlineLevel="0" collapsed="false">
      <c r="A642" s="5" t="s">
        <v>109</v>
      </c>
      <c r="B642" s="5" t="s">
        <v>105</v>
      </c>
      <c r="C642" s="5" t="s">
        <v>850</v>
      </c>
      <c r="D642" s="5" t="s">
        <v>851</v>
      </c>
      <c r="E642" s="5" t="s">
        <v>130</v>
      </c>
      <c r="F642" s="5" t="s">
        <v>1056</v>
      </c>
      <c r="G642" s="5" t="s">
        <v>1052</v>
      </c>
    </row>
    <row r="643" customFormat="false" ht="15" hidden="false" customHeight="false" outlineLevel="0" collapsed="false">
      <c r="A643" s="5" t="s">
        <v>109</v>
      </c>
      <c r="B643" s="5" t="s">
        <v>105</v>
      </c>
      <c r="C643" s="5" t="s">
        <v>852</v>
      </c>
      <c r="D643" s="5" t="s">
        <v>851</v>
      </c>
      <c r="E643" s="5" t="s">
        <v>114</v>
      </c>
      <c r="F643" s="5" t="s">
        <v>1055</v>
      </c>
      <c r="G643" s="5" t="s">
        <v>1052</v>
      </c>
    </row>
    <row r="644" customFormat="false" ht="15" hidden="false" customHeight="false" outlineLevel="0" collapsed="false">
      <c r="A644" s="5" t="s">
        <v>109</v>
      </c>
      <c r="B644" s="5" t="s">
        <v>105</v>
      </c>
      <c r="C644" s="5" t="s">
        <v>853</v>
      </c>
      <c r="D644" s="5" t="s">
        <v>851</v>
      </c>
      <c r="E644" s="5" t="s">
        <v>116</v>
      </c>
      <c r="F644" s="5" t="s">
        <v>1055</v>
      </c>
      <c r="G644" s="5" t="s">
        <v>1052</v>
      </c>
    </row>
    <row r="645" customFormat="false" ht="15" hidden="false" customHeight="false" outlineLevel="0" collapsed="false">
      <c r="A645" s="5" t="s">
        <v>109</v>
      </c>
      <c r="B645" s="5" t="s">
        <v>105</v>
      </c>
      <c r="C645" s="5" t="s">
        <v>854</v>
      </c>
      <c r="D645" s="5" t="s">
        <v>851</v>
      </c>
      <c r="E645" s="5" t="s">
        <v>544</v>
      </c>
      <c r="F645" s="5" t="s">
        <v>1055</v>
      </c>
      <c r="G645" s="5" t="s">
        <v>1052</v>
      </c>
    </row>
    <row r="646" customFormat="false" ht="15" hidden="false" customHeight="false" outlineLevel="0" collapsed="false">
      <c r="A646" s="5" t="s">
        <v>109</v>
      </c>
      <c r="B646" s="5" t="s">
        <v>105</v>
      </c>
      <c r="C646" s="5" t="s">
        <v>855</v>
      </c>
      <c r="D646" s="5" t="s">
        <v>851</v>
      </c>
      <c r="E646" s="5" t="s">
        <v>546</v>
      </c>
      <c r="F646" s="5" t="s">
        <v>1055</v>
      </c>
      <c r="G646" s="5" t="s">
        <v>1052</v>
      </c>
    </row>
    <row r="647" customFormat="false" ht="15" hidden="false" customHeight="false" outlineLevel="0" collapsed="false">
      <c r="A647" s="5" t="s">
        <v>109</v>
      </c>
      <c r="B647" s="5" t="s">
        <v>105</v>
      </c>
      <c r="C647" s="5" t="s">
        <v>856</v>
      </c>
      <c r="D647" s="5" t="s">
        <v>851</v>
      </c>
      <c r="E647" s="5" t="s">
        <v>548</v>
      </c>
      <c r="F647" s="5" t="s">
        <v>1055</v>
      </c>
      <c r="G647" s="5" t="s">
        <v>1052</v>
      </c>
    </row>
    <row r="648" customFormat="false" ht="15" hidden="false" customHeight="false" outlineLevel="0" collapsed="false">
      <c r="A648" s="5" t="s">
        <v>109</v>
      </c>
      <c r="B648" s="5" t="s">
        <v>105</v>
      </c>
      <c r="C648" s="5" t="s">
        <v>857</v>
      </c>
      <c r="D648" s="5" t="s">
        <v>851</v>
      </c>
      <c r="E648" s="5" t="s">
        <v>550</v>
      </c>
      <c r="F648" s="5" t="s">
        <v>1055</v>
      </c>
      <c r="G648" s="5" t="s">
        <v>1052</v>
      </c>
    </row>
    <row r="649" customFormat="false" ht="15" hidden="false" customHeight="false" outlineLevel="0" collapsed="false">
      <c r="A649" s="5" t="s">
        <v>109</v>
      </c>
      <c r="B649" s="5" t="s">
        <v>105</v>
      </c>
      <c r="C649" s="5" t="s">
        <v>858</v>
      </c>
      <c r="D649" s="5" t="s">
        <v>851</v>
      </c>
      <c r="E649" s="5" t="s">
        <v>118</v>
      </c>
      <c r="F649" s="5" t="s">
        <v>1055</v>
      </c>
      <c r="G649" s="5" t="s">
        <v>1052</v>
      </c>
    </row>
    <row r="650" customFormat="false" ht="15" hidden="false" customHeight="false" outlineLevel="0" collapsed="false">
      <c r="A650" s="5" t="s">
        <v>109</v>
      </c>
      <c r="B650" s="5" t="s">
        <v>105</v>
      </c>
      <c r="C650" s="5" t="s">
        <v>859</v>
      </c>
      <c r="D650" s="5" t="s">
        <v>851</v>
      </c>
      <c r="E650" s="5" t="s">
        <v>120</v>
      </c>
      <c r="F650" s="5" t="s">
        <v>1055</v>
      </c>
      <c r="G650" s="5" t="s">
        <v>1052</v>
      </c>
    </row>
    <row r="651" customFormat="false" ht="15" hidden="false" customHeight="false" outlineLevel="0" collapsed="false">
      <c r="A651" s="5" t="s">
        <v>109</v>
      </c>
      <c r="B651" s="5" t="s">
        <v>105</v>
      </c>
      <c r="C651" s="5" t="s">
        <v>860</v>
      </c>
      <c r="D651" s="5" t="s">
        <v>851</v>
      </c>
      <c r="E651" s="5" t="s">
        <v>554</v>
      </c>
      <c r="F651" s="5" t="s">
        <v>1055</v>
      </c>
      <c r="G651" s="5" t="s">
        <v>1052</v>
      </c>
    </row>
    <row r="652" customFormat="false" ht="15" hidden="false" customHeight="false" outlineLevel="0" collapsed="false">
      <c r="A652" s="5" t="s">
        <v>109</v>
      </c>
      <c r="B652" s="5" t="s">
        <v>105</v>
      </c>
      <c r="C652" s="5" t="s">
        <v>861</v>
      </c>
      <c r="D652" s="5" t="s">
        <v>862</v>
      </c>
      <c r="E652" s="5" t="s">
        <v>130</v>
      </c>
      <c r="F652" s="5" t="s">
        <v>1056</v>
      </c>
      <c r="G652" s="5" t="s">
        <v>1052</v>
      </c>
    </row>
    <row r="653" customFormat="false" ht="15" hidden="false" customHeight="false" outlineLevel="0" collapsed="false">
      <c r="A653" s="5" t="s">
        <v>109</v>
      </c>
      <c r="B653" s="5" t="s">
        <v>105</v>
      </c>
      <c r="C653" s="5" t="s">
        <v>863</v>
      </c>
      <c r="D653" s="5" t="s">
        <v>862</v>
      </c>
      <c r="E653" s="5" t="s">
        <v>114</v>
      </c>
      <c r="F653" s="5" t="s">
        <v>1055</v>
      </c>
      <c r="G653" s="5" t="s">
        <v>1052</v>
      </c>
    </row>
    <row r="654" customFormat="false" ht="15" hidden="false" customHeight="false" outlineLevel="0" collapsed="false">
      <c r="A654" s="5" t="s">
        <v>109</v>
      </c>
      <c r="B654" s="5" t="s">
        <v>105</v>
      </c>
      <c r="C654" s="5" t="s">
        <v>864</v>
      </c>
      <c r="D654" s="5" t="s">
        <v>862</v>
      </c>
      <c r="E654" s="5" t="s">
        <v>116</v>
      </c>
      <c r="F654" s="5" t="s">
        <v>1055</v>
      </c>
      <c r="G654" s="5" t="s">
        <v>1052</v>
      </c>
    </row>
    <row r="655" customFormat="false" ht="15" hidden="false" customHeight="false" outlineLevel="0" collapsed="false">
      <c r="A655" s="5" t="s">
        <v>109</v>
      </c>
      <c r="B655" s="5" t="s">
        <v>105</v>
      </c>
      <c r="C655" s="5" t="s">
        <v>865</v>
      </c>
      <c r="D655" s="5" t="s">
        <v>862</v>
      </c>
      <c r="E655" s="5" t="s">
        <v>544</v>
      </c>
      <c r="F655" s="5" t="s">
        <v>1055</v>
      </c>
      <c r="G655" s="5" t="s">
        <v>1052</v>
      </c>
    </row>
    <row r="656" customFormat="false" ht="15" hidden="false" customHeight="false" outlineLevel="0" collapsed="false">
      <c r="A656" s="5" t="s">
        <v>109</v>
      </c>
      <c r="B656" s="5" t="s">
        <v>105</v>
      </c>
      <c r="C656" s="5" t="s">
        <v>866</v>
      </c>
      <c r="D656" s="5" t="s">
        <v>862</v>
      </c>
      <c r="E656" s="5" t="s">
        <v>546</v>
      </c>
      <c r="F656" s="5" t="s">
        <v>1055</v>
      </c>
      <c r="G656" s="5" t="s">
        <v>1052</v>
      </c>
    </row>
    <row r="657" customFormat="false" ht="15" hidden="false" customHeight="false" outlineLevel="0" collapsed="false">
      <c r="A657" s="5" t="s">
        <v>109</v>
      </c>
      <c r="B657" s="5" t="s">
        <v>105</v>
      </c>
      <c r="C657" s="5" t="s">
        <v>867</v>
      </c>
      <c r="D657" s="5" t="s">
        <v>862</v>
      </c>
      <c r="E657" s="5" t="s">
        <v>548</v>
      </c>
      <c r="F657" s="5" t="s">
        <v>1055</v>
      </c>
      <c r="G657" s="5" t="s">
        <v>1052</v>
      </c>
    </row>
    <row r="658" customFormat="false" ht="15" hidden="false" customHeight="false" outlineLevel="0" collapsed="false">
      <c r="A658" s="5" t="s">
        <v>109</v>
      </c>
      <c r="B658" s="5" t="s">
        <v>105</v>
      </c>
      <c r="C658" s="5" t="s">
        <v>868</v>
      </c>
      <c r="D658" s="5" t="s">
        <v>862</v>
      </c>
      <c r="E658" s="5" t="s">
        <v>550</v>
      </c>
      <c r="F658" s="5" t="s">
        <v>1055</v>
      </c>
      <c r="G658" s="5" t="s">
        <v>1052</v>
      </c>
    </row>
    <row r="659" customFormat="false" ht="15" hidden="false" customHeight="false" outlineLevel="0" collapsed="false">
      <c r="A659" s="5" t="s">
        <v>109</v>
      </c>
      <c r="B659" s="5" t="s">
        <v>105</v>
      </c>
      <c r="C659" s="5" t="s">
        <v>869</v>
      </c>
      <c r="D659" s="5" t="s">
        <v>862</v>
      </c>
      <c r="E659" s="5" t="s">
        <v>118</v>
      </c>
      <c r="F659" s="5" t="s">
        <v>1055</v>
      </c>
      <c r="G659" s="5" t="s">
        <v>1052</v>
      </c>
    </row>
    <row r="660" customFormat="false" ht="15" hidden="false" customHeight="false" outlineLevel="0" collapsed="false">
      <c r="A660" s="5" t="s">
        <v>109</v>
      </c>
      <c r="B660" s="5" t="s">
        <v>105</v>
      </c>
      <c r="C660" s="5" t="s">
        <v>870</v>
      </c>
      <c r="D660" s="5" t="s">
        <v>862</v>
      </c>
      <c r="E660" s="5" t="s">
        <v>120</v>
      </c>
      <c r="F660" s="5" t="s">
        <v>1055</v>
      </c>
      <c r="G660" s="5" t="s">
        <v>1052</v>
      </c>
    </row>
    <row r="661" customFormat="false" ht="15" hidden="false" customHeight="false" outlineLevel="0" collapsed="false">
      <c r="A661" s="5" t="s">
        <v>109</v>
      </c>
      <c r="B661" s="5" t="s">
        <v>105</v>
      </c>
      <c r="C661" s="5" t="s">
        <v>871</v>
      </c>
      <c r="D661" s="5" t="s">
        <v>862</v>
      </c>
      <c r="E661" s="5" t="s">
        <v>554</v>
      </c>
      <c r="F661" s="5" t="s">
        <v>1055</v>
      </c>
      <c r="G661" s="5" t="s">
        <v>1052</v>
      </c>
    </row>
    <row r="662" customFormat="false" ht="15" hidden="false" customHeight="false" outlineLevel="0" collapsed="false">
      <c r="A662" s="5" t="s">
        <v>109</v>
      </c>
      <c r="B662" s="5" t="s">
        <v>105</v>
      </c>
      <c r="C662" s="5" t="s">
        <v>872</v>
      </c>
      <c r="D662" s="5" t="s">
        <v>873</v>
      </c>
      <c r="E662" s="5" t="s">
        <v>130</v>
      </c>
      <c r="F662" s="5" t="s">
        <v>1056</v>
      </c>
      <c r="G662" s="5" t="s">
        <v>1052</v>
      </c>
    </row>
    <row r="663" customFormat="false" ht="15" hidden="false" customHeight="false" outlineLevel="0" collapsed="false">
      <c r="A663" s="5" t="s">
        <v>109</v>
      </c>
      <c r="B663" s="5" t="s">
        <v>105</v>
      </c>
      <c r="C663" s="5" t="s">
        <v>874</v>
      </c>
      <c r="D663" s="5" t="s">
        <v>873</v>
      </c>
      <c r="E663" s="5" t="s">
        <v>114</v>
      </c>
      <c r="F663" s="5" t="s">
        <v>1055</v>
      </c>
      <c r="G663" s="5" t="s">
        <v>1052</v>
      </c>
    </row>
    <row r="664" customFormat="false" ht="15" hidden="false" customHeight="false" outlineLevel="0" collapsed="false">
      <c r="A664" s="5" t="s">
        <v>109</v>
      </c>
      <c r="B664" s="5" t="s">
        <v>105</v>
      </c>
      <c r="C664" s="5" t="s">
        <v>875</v>
      </c>
      <c r="D664" s="5" t="s">
        <v>873</v>
      </c>
      <c r="E664" s="5" t="s">
        <v>116</v>
      </c>
      <c r="F664" s="5" t="s">
        <v>1055</v>
      </c>
      <c r="G664" s="5" t="s">
        <v>1052</v>
      </c>
    </row>
    <row r="665" customFormat="false" ht="15" hidden="false" customHeight="false" outlineLevel="0" collapsed="false">
      <c r="A665" s="5" t="s">
        <v>109</v>
      </c>
      <c r="B665" s="5" t="s">
        <v>105</v>
      </c>
      <c r="C665" s="5" t="s">
        <v>876</v>
      </c>
      <c r="D665" s="5" t="s">
        <v>873</v>
      </c>
      <c r="E665" s="5" t="s">
        <v>544</v>
      </c>
      <c r="F665" s="5" t="s">
        <v>1055</v>
      </c>
      <c r="G665" s="5" t="s">
        <v>1052</v>
      </c>
    </row>
    <row r="666" customFormat="false" ht="15" hidden="false" customHeight="false" outlineLevel="0" collapsed="false">
      <c r="A666" s="5" t="s">
        <v>109</v>
      </c>
      <c r="B666" s="5" t="s">
        <v>105</v>
      </c>
      <c r="C666" s="5" t="s">
        <v>877</v>
      </c>
      <c r="D666" s="5" t="s">
        <v>873</v>
      </c>
      <c r="E666" s="5" t="s">
        <v>546</v>
      </c>
      <c r="F666" s="5" t="s">
        <v>1055</v>
      </c>
      <c r="G666" s="5" t="s">
        <v>1052</v>
      </c>
    </row>
    <row r="667" customFormat="false" ht="15" hidden="false" customHeight="false" outlineLevel="0" collapsed="false">
      <c r="A667" s="5" t="s">
        <v>109</v>
      </c>
      <c r="B667" s="5" t="s">
        <v>105</v>
      </c>
      <c r="C667" s="5" t="s">
        <v>878</v>
      </c>
      <c r="D667" s="5" t="s">
        <v>873</v>
      </c>
      <c r="E667" s="5" t="s">
        <v>548</v>
      </c>
      <c r="F667" s="5" t="s">
        <v>1055</v>
      </c>
      <c r="G667" s="5" t="s">
        <v>1052</v>
      </c>
    </row>
    <row r="668" customFormat="false" ht="15" hidden="false" customHeight="false" outlineLevel="0" collapsed="false">
      <c r="A668" s="5" t="s">
        <v>109</v>
      </c>
      <c r="B668" s="5" t="s">
        <v>105</v>
      </c>
      <c r="C668" s="5" t="s">
        <v>879</v>
      </c>
      <c r="D668" s="5" t="s">
        <v>873</v>
      </c>
      <c r="E668" s="5" t="s">
        <v>550</v>
      </c>
      <c r="F668" s="5" t="s">
        <v>1055</v>
      </c>
      <c r="G668" s="5" t="s">
        <v>1052</v>
      </c>
    </row>
    <row r="669" customFormat="false" ht="15" hidden="false" customHeight="false" outlineLevel="0" collapsed="false">
      <c r="A669" s="5" t="s">
        <v>109</v>
      </c>
      <c r="B669" s="5" t="s">
        <v>105</v>
      </c>
      <c r="C669" s="5" t="s">
        <v>880</v>
      </c>
      <c r="D669" s="5" t="s">
        <v>873</v>
      </c>
      <c r="E669" s="5" t="s">
        <v>118</v>
      </c>
      <c r="F669" s="5" t="s">
        <v>1055</v>
      </c>
      <c r="G669" s="5" t="s">
        <v>1052</v>
      </c>
    </row>
    <row r="670" customFormat="false" ht="15" hidden="false" customHeight="false" outlineLevel="0" collapsed="false">
      <c r="A670" s="5" t="s">
        <v>109</v>
      </c>
      <c r="B670" s="5" t="s">
        <v>105</v>
      </c>
      <c r="C670" s="5" t="s">
        <v>881</v>
      </c>
      <c r="D670" s="5" t="s">
        <v>873</v>
      </c>
      <c r="E670" s="5" t="s">
        <v>120</v>
      </c>
      <c r="F670" s="5" t="s">
        <v>1055</v>
      </c>
      <c r="G670" s="5" t="s">
        <v>1052</v>
      </c>
    </row>
    <row r="671" customFormat="false" ht="15" hidden="false" customHeight="false" outlineLevel="0" collapsed="false">
      <c r="A671" s="5" t="s">
        <v>109</v>
      </c>
      <c r="B671" s="5" t="s">
        <v>105</v>
      </c>
      <c r="C671" s="5" t="s">
        <v>882</v>
      </c>
      <c r="D671" s="5" t="s">
        <v>873</v>
      </c>
      <c r="E671" s="5" t="s">
        <v>554</v>
      </c>
      <c r="F671" s="5" t="s">
        <v>1055</v>
      </c>
      <c r="G671" s="5" t="s">
        <v>1052</v>
      </c>
    </row>
    <row r="672" customFormat="false" ht="15" hidden="false" customHeight="false" outlineLevel="0" collapsed="false">
      <c r="A672" s="5" t="s">
        <v>109</v>
      </c>
      <c r="B672" s="5" t="s">
        <v>105</v>
      </c>
      <c r="C672" s="5" t="s">
        <v>883</v>
      </c>
      <c r="D672" s="5" t="s">
        <v>884</v>
      </c>
      <c r="E672" s="5" t="s">
        <v>130</v>
      </c>
      <c r="F672" s="5" t="s">
        <v>1056</v>
      </c>
      <c r="G672" s="5" t="s">
        <v>1052</v>
      </c>
    </row>
    <row r="673" customFormat="false" ht="15" hidden="false" customHeight="false" outlineLevel="0" collapsed="false">
      <c r="A673" s="5" t="s">
        <v>109</v>
      </c>
      <c r="B673" s="5" t="s">
        <v>105</v>
      </c>
      <c r="C673" s="5" t="s">
        <v>885</v>
      </c>
      <c r="D673" s="5" t="s">
        <v>884</v>
      </c>
      <c r="E673" s="5" t="s">
        <v>114</v>
      </c>
      <c r="F673" s="5" t="s">
        <v>1055</v>
      </c>
      <c r="G673" s="5" t="s">
        <v>1052</v>
      </c>
    </row>
    <row r="674" customFormat="false" ht="15" hidden="false" customHeight="false" outlineLevel="0" collapsed="false">
      <c r="A674" s="5" t="s">
        <v>109</v>
      </c>
      <c r="B674" s="5" t="s">
        <v>105</v>
      </c>
      <c r="C674" s="5" t="s">
        <v>886</v>
      </c>
      <c r="D674" s="5" t="s">
        <v>884</v>
      </c>
      <c r="E674" s="5" t="s">
        <v>116</v>
      </c>
      <c r="F674" s="5" t="s">
        <v>1055</v>
      </c>
      <c r="G674" s="5" t="s">
        <v>1052</v>
      </c>
    </row>
    <row r="675" customFormat="false" ht="15" hidden="false" customHeight="false" outlineLevel="0" collapsed="false">
      <c r="A675" s="5" t="s">
        <v>109</v>
      </c>
      <c r="B675" s="5" t="s">
        <v>105</v>
      </c>
      <c r="C675" s="5" t="s">
        <v>887</v>
      </c>
      <c r="D675" s="5" t="s">
        <v>884</v>
      </c>
      <c r="E675" s="5" t="s">
        <v>544</v>
      </c>
      <c r="F675" s="5" t="s">
        <v>1055</v>
      </c>
      <c r="G675" s="5" t="s">
        <v>1052</v>
      </c>
    </row>
    <row r="676" customFormat="false" ht="15" hidden="false" customHeight="false" outlineLevel="0" collapsed="false">
      <c r="A676" s="5" t="s">
        <v>109</v>
      </c>
      <c r="B676" s="5" t="s">
        <v>105</v>
      </c>
      <c r="C676" s="5" t="s">
        <v>888</v>
      </c>
      <c r="D676" s="5" t="s">
        <v>884</v>
      </c>
      <c r="E676" s="5" t="s">
        <v>546</v>
      </c>
      <c r="F676" s="5" t="s">
        <v>1055</v>
      </c>
      <c r="G676" s="5" t="s">
        <v>1052</v>
      </c>
    </row>
    <row r="677" customFormat="false" ht="15" hidden="false" customHeight="false" outlineLevel="0" collapsed="false">
      <c r="A677" s="5" t="s">
        <v>109</v>
      </c>
      <c r="B677" s="5" t="s">
        <v>105</v>
      </c>
      <c r="C677" s="5" t="s">
        <v>889</v>
      </c>
      <c r="D677" s="5" t="s">
        <v>884</v>
      </c>
      <c r="E677" s="5" t="s">
        <v>548</v>
      </c>
      <c r="F677" s="5" t="s">
        <v>1055</v>
      </c>
      <c r="G677" s="5" t="s">
        <v>1052</v>
      </c>
    </row>
    <row r="678" customFormat="false" ht="15" hidden="false" customHeight="false" outlineLevel="0" collapsed="false">
      <c r="A678" s="5" t="s">
        <v>109</v>
      </c>
      <c r="B678" s="5" t="s">
        <v>105</v>
      </c>
      <c r="C678" s="5" t="s">
        <v>890</v>
      </c>
      <c r="D678" s="5" t="s">
        <v>884</v>
      </c>
      <c r="E678" s="5" t="s">
        <v>550</v>
      </c>
      <c r="F678" s="5" t="s">
        <v>1055</v>
      </c>
      <c r="G678" s="5" t="s">
        <v>1052</v>
      </c>
    </row>
    <row r="679" customFormat="false" ht="15" hidden="false" customHeight="false" outlineLevel="0" collapsed="false">
      <c r="A679" s="5" t="s">
        <v>109</v>
      </c>
      <c r="B679" s="5" t="s">
        <v>105</v>
      </c>
      <c r="C679" s="5" t="s">
        <v>891</v>
      </c>
      <c r="D679" s="5" t="s">
        <v>884</v>
      </c>
      <c r="E679" s="5" t="s">
        <v>118</v>
      </c>
      <c r="F679" s="5" t="s">
        <v>1055</v>
      </c>
      <c r="G679" s="5" t="s">
        <v>1052</v>
      </c>
    </row>
    <row r="680" customFormat="false" ht="15" hidden="false" customHeight="false" outlineLevel="0" collapsed="false">
      <c r="A680" s="5" t="s">
        <v>109</v>
      </c>
      <c r="B680" s="5" t="s">
        <v>105</v>
      </c>
      <c r="C680" s="5" t="s">
        <v>892</v>
      </c>
      <c r="D680" s="5" t="s">
        <v>884</v>
      </c>
      <c r="E680" s="5" t="s">
        <v>120</v>
      </c>
      <c r="F680" s="5" t="s">
        <v>1055</v>
      </c>
      <c r="G680" s="5" t="s">
        <v>1052</v>
      </c>
    </row>
    <row r="681" customFormat="false" ht="15" hidden="false" customHeight="false" outlineLevel="0" collapsed="false">
      <c r="A681" s="5" t="s">
        <v>109</v>
      </c>
      <c r="B681" s="5" t="s">
        <v>105</v>
      </c>
      <c r="C681" s="5" t="s">
        <v>893</v>
      </c>
      <c r="D681" s="5" t="s">
        <v>884</v>
      </c>
      <c r="E681" s="5" t="s">
        <v>554</v>
      </c>
      <c r="F681" s="5" t="s">
        <v>1055</v>
      </c>
      <c r="G681" s="5" t="s">
        <v>1052</v>
      </c>
    </row>
    <row r="682" customFormat="false" ht="15" hidden="false" customHeight="false" outlineLevel="0" collapsed="false">
      <c r="A682" s="5" t="s">
        <v>109</v>
      </c>
      <c r="B682" s="5" t="s">
        <v>105</v>
      </c>
      <c r="C682" s="5" t="s">
        <v>894</v>
      </c>
      <c r="D682" s="5" t="s">
        <v>895</v>
      </c>
      <c r="E682" s="5" t="s">
        <v>130</v>
      </c>
      <c r="F682" s="5" t="s">
        <v>1056</v>
      </c>
      <c r="G682" s="5" t="s">
        <v>1052</v>
      </c>
    </row>
    <row r="683" customFormat="false" ht="15" hidden="false" customHeight="false" outlineLevel="0" collapsed="false">
      <c r="A683" s="5" t="s">
        <v>109</v>
      </c>
      <c r="B683" s="5" t="s">
        <v>105</v>
      </c>
      <c r="C683" s="5" t="s">
        <v>896</v>
      </c>
      <c r="D683" s="5" t="s">
        <v>895</v>
      </c>
      <c r="E683" s="5" t="s">
        <v>114</v>
      </c>
      <c r="F683" s="5" t="s">
        <v>1055</v>
      </c>
      <c r="G683" s="5" t="s">
        <v>1052</v>
      </c>
    </row>
    <row r="684" customFormat="false" ht="15" hidden="false" customHeight="false" outlineLevel="0" collapsed="false">
      <c r="A684" s="5" t="s">
        <v>109</v>
      </c>
      <c r="B684" s="5" t="s">
        <v>105</v>
      </c>
      <c r="C684" s="5" t="s">
        <v>897</v>
      </c>
      <c r="D684" s="5" t="s">
        <v>895</v>
      </c>
      <c r="E684" s="5" t="s">
        <v>116</v>
      </c>
      <c r="F684" s="5" t="s">
        <v>1055</v>
      </c>
      <c r="G684" s="5" t="s">
        <v>1052</v>
      </c>
    </row>
    <row r="685" customFormat="false" ht="15" hidden="false" customHeight="false" outlineLevel="0" collapsed="false">
      <c r="A685" s="5" t="s">
        <v>109</v>
      </c>
      <c r="B685" s="5" t="s">
        <v>105</v>
      </c>
      <c r="C685" s="5" t="s">
        <v>898</v>
      </c>
      <c r="D685" s="5" t="s">
        <v>895</v>
      </c>
      <c r="E685" s="5" t="s">
        <v>544</v>
      </c>
      <c r="F685" s="5" t="s">
        <v>1055</v>
      </c>
      <c r="G685" s="5" t="s">
        <v>1052</v>
      </c>
    </row>
    <row r="686" customFormat="false" ht="15" hidden="false" customHeight="false" outlineLevel="0" collapsed="false">
      <c r="A686" s="5" t="s">
        <v>109</v>
      </c>
      <c r="B686" s="5" t="s">
        <v>105</v>
      </c>
      <c r="C686" s="5" t="s">
        <v>899</v>
      </c>
      <c r="D686" s="5" t="s">
        <v>895</v>
      </c>
      <c r="E686" s="5" t="s">
        <v>546</v>
      </c>
      <c r="F686" s="5" t="s">
        <v>1055</v>
      </c>
      <c r="G686" s="5" t="s">
        <v>1052</v>
      </c>
    </row>
    <row r="687" customFormat="false" ht="15" hidden="false" customHeight="false" outlineLevel="0" collapsed="false">
      <c r="A687" s="5" t="s">
        <v>109</v>
      </c>
      <c r="B687" s="5" t="s">
        <v>105</v>
      </c>
      <c r="C687" s="5" t="s">
        <v>900</v>
      </c>
      <c r="D687" s="5" t="s">
        <v>895</v>
      </c>
      <c r="E687" s="5" t="s">
        <v>548</v>
      </c>
      <c r="F687" s="5" t="s">
        <v>1055</v>
      </c>
      <c r="G687" s="5" t="s">
        <v>1052</v>
      </c>
    </row>
    <row r="688" customFormat="false" ht="15" hidden="false" customHeight="false" outlineLevel="0" collapsed="false">
      <c r="A688" s="5" t="s">
        <v>109</v>
      </c>
      <c r="B688" s="5" t="s">
        <v>105</v>
      </c>
      <c r="C688" s="5" t="s">
        <v>901</v>
      </c>
      <c r="D688" s="5" t="s">
        <v>895</v>
      </c>
      <c r="E688" s="5" t="s">
        <v>550</v>
      </c>
      <c r="F688" s="5" t="s">
        <v>1055</v>
      </c>
      <c r="G688" s="5" t="s">
        <v>1052</v>
      </c>
    </row>
    <row r="689" customFormat="false" ht="15" hidden="false" customHeight="false" outlineLevel="0" collapsed="false">
      <c r="A689" s="5" t="s">
        <v>109</v>
      </c>
      <c r="B689" s="5" t="s">
        <v>105</v>
      </c>
      <c r="C689" s="5" t="s">
        <v>902</v>
      </c>
      <c r="D689" s="5" t="s">
        <v>895</v>
      </c>
      <c r="E689" s="5" t="s">
        <v>118</v>
      </c>
      <c r="F689" s="5" t="s">
        <v>1055</v>
      </c>
      <c r="G689" s="5" t="s">
        <v>1052</v>
      </c>
    </row>
    <row r="690" customFormat="false" ht="15" hidden="false" customHeight="false" outlineLevel="0" collapsed="false">
      <c r="A690" s="5" t="s">
        <v>109</v>
      </c>
      <c r="B690" s="5" t="s">
        <v>105</v>
      </c>
      <c r="C690" s="5" t="s">
        <v>903</v>
      </c>
      <c r="D690" s="5" t="s">
        <v>895</v>
      </c>
      <c r="E690" s="5" t="s">
        <v>120</v>
      </c>
      <c r="F690" s="5" t="s">
        <v>1055</v>
      </c>
      <c r="G690" s="5" t="s">
        <v>1052</v>
      </c>
    </row>
    <row r="691" customFormat="false" ht="15" hidden="false" customHeight="false" outlineLevel="0" collapsed="false">
      <c r="A691" s="5" t="s">
        <v>109</v>
      </c>
      <c r="B691" s="5" t="s">
        <v>105</v>
      </c>
      <c r="C691" s="5" t="s">
        <v>904</v>
      </c>
      <c r="D691" s="5" t="s">
        <v>895</v>
      </c>
      <c r="E691" s="5" t="s">
        <v>554</v>
      </c>
      <c r="F691" s="5" t="s">
        <v>1055</v>
      </c>
      <c r="G691" s="5" t="s">
        <v>1052</v>
      </c>
    </row>
    <row r="692" customFormat="false" ht="15" hidden="false" customHeight="false" outlineLevel="0" collapsed="false">
      <c r="A692" s="5" t="s">
        <v>109</v>
      </c>
      <c r="B692" s="5" t="s">
        <v>105</v>
      </c>
      <c r="C692" s="5" t="s">
        <v>128</v>
      </c>
      <c r="D692" s="5" t="s">
        <v>129</v>
      </c>
      <c r="E692" s="5" t="s">
        <v>130</v>
      </c>
      <c r="F692" s="5" t="s">
        <v>1056</v>
      </c>
      <c r="G692" s="5" t="s">
        <v>1052</v>
      </c>
    </row>
    <row r="693" customFormat="false" ht="15" hidden="false" customHeight="false" outlineLevel="0" collapsed="false">
      <c r="A693" s="5" t="s">
        <v>109</v>
      </c>
      <c r="B693" s="5" t="s">
        <v>105</v>
      </c>
      <c r="C693" s="5" t="s">
        <v>131</v>
      </c>
      <c r="D693" s="5" t="s">
        <v>129</v>
      </c>
      <c r="E693" s="5" t="s">
        <v>114</v>
      </c>
      <c r="F693" s="5" t="s">
        <v>1055</v>
      </c>
      <c r="G693" s="5" t="s">
        <v>1052</v>
      </c>
    </row>
    <row r="694" customFormat="false" ht="15" hidden="false" customHeight="false" outlineLevel="0" collapsed="false">
      <c r="A694" s="5" t="s">
        <v>109</v>
      </c>
      <c r="B694" s="5" t="s">
        <v>105</v>
      </c>
      <c r="C694" s="5" t="s">
        <v>132</v>
      </c>
      <c r="D694" s="5" t="s">
        <v>129</v>
      </c>
      <c r="E694" s="5" t="s">
        <v>116</v>
      </c>
      <c r="F694" s="5" t="s">
        <v>1055</v>
      </c>
      <c r="G694" s="5" t="s">
        <v>1052</v>
      </c>
    </row>
    <row r="695" customFormat="false" ht="15" hidden="false" customHeight="false" outlineLevel="0" collapsed="false">
      <c r="A695" s="5" t="s">
        <v>109</v>
      </c>
      <c r="B695" s="5" t="s">
        <v>105</v>
      </c>
      <c r="C695" s="5" t="s">
        <v>905</v>
      </c>
      <c r="D695" s="5" t="s">
        <v>129</v>
      </c>
      <c r="E695" s="5" t="s">
        <v>544</v>
      </c>
      <c r="F695" s="5" t="s">
        <v>1055</v>
      </c>
      <c r="G695" s="5" t="s">
        <v>1052</v>
      </c>
    </row>
    <row r="696" customFormat="false" ht="15" hidden="false" customHeight="false" outlineLevel="0" collapsed="false">
      <c r="A696" s="5" t="s">
        <v>109</v>
      </c>
      <c r="B696" s="5" t="s">
        <v>105</v>
      </c>
      <c r="C696" s="5" t="s">
        <v>906</v>
      </c>
      <c r="D696" s="5" t="s">
        <v>129</v>
      </c>
      <c r="E696" s="5" t="s">
        <v>546</v>
      </c>
      <c r="F696" s="5" t="s">
        <v>1055</v>
      </c>
      <c r="G696" s="5" t="s">
        <v>1052</v>
      </c>
    </row>
    <row r="697" customFormat="false" ht="15" hidden="false" customHeight="false" outlineLevel="0" collapsed="false">
      <c r="A697" s="5" t="s">
        <v>109</v>
      </c>
      <c r="B697" s="5" t="s">
        <v>105</v>
      </c>
      <c r="C697" s="5" t="s">
        <v>907</v>
      </c>
      <c r="D697" s="5" t="s">
        <v>129</v>
      </c>
      <c r="E697" s="5" t="s">
        <v>548</v>
      </c>
      <c r="F697" s="5" t="s">
        <v>1055</v>
      </c>
      <c r="G697" s="5" t="s">
        <v>1052</v>
      </c>
    </row>
    <row r="698" customFormat="false" ht="15" hidden="false" customHeight="false" outlineLevel="0" collapsed="false">
      <c r="A698" s="5" t="s">
        <v>109</v>
      </c>
      <c r="B698" s="5" t="s">
        <v>105</v>
      </c>
      <c r="C698" s="5" t="s">
        <v>908</v>
      </c>
      <c r="D698" s="5" t="s">
        <v>129</v>
      </c>
      <c r="E698" s="5" t="s">
        <v>550</v>
      </c>
      <c r="F698" s="5" t="s">
        <v>1055</v>
      </c>
      <c r="G698" s="5" t="s">
        <v>1052</v>
      </c>
    </row>
    <row r="699" customFormat="false" ht="15" hidden="false" customHeight="false" outlineLevel="0" collapsed="false">
      <c r="A699" s="5" t="s">
        <v>109</v>
      </c>
      <c r="B699" s="5" t="s">
        <v>105</v>
      </c>
      <c r="C699" s="5" t="s">
        <v>133</v>
      </c>
      <c r="D699" s="5" t="s">
        <v>129</v>
      </c>
      <c r="E699" s="5" t="s">
        <v>118</v>
      </c>
      <c r="F699" s="5" t="s">
        <v>1055</v>
      </c>
      <c r="G699" s="5" t="s">
        <v>1052</v>
      </c>
    </row>
    <row r="700" customFormat="false" ht="15" hidden="false" customHeight="false" outlineLevel="0" collapsed="false">
      <c r="A700" s="5" t="s">
        <v>109</v>
      </c>
      <c r="B700" s="5" t="s">
        <v>105</v>
      </c>
      <c r="C700" s="5" t="s">
        <v>134</v>
      </c>
      <c r="D700" s="5" t="s">
        <v>129</v>
      </c>
      <c r="E700" s="5" t="s">
        <v>120</v>
      </c>
      <c r="F700" s="5" t="s">
        <v>1055</v>
      </c>
      <c r="G700" s="5" t="s">
        <v>1052</v>
      </c>
    </row>
    <row r="701" customFormat="false" ht="15" hidden="false" customHeight="false" outlineLevel="0" collapsed="false">
      <c r="A701" s="5" t="s">
        <v>109</v>
      </c>
      <c r="B701" s="5" t="s">
        <v>105</v>
      </c>
      <c r="C701" s="5" t="s">
        <v>909</v>
      </c>
      <c r="D701" s="5" t="s">
        <v>129</v>
      </c>
      <c r="E701" s="5" t="s">
        <v>554</v>
      </c>
      <c r="F701" s="5" t="s">
        <v>1055</v>
      </c>
      <c r="G701" s="5" t="s">
        <v>1052</v>
      </c>
    </row>
    <row r="702" customFormat="false" ht="15" hidden="false" customHeight="false" outlineLevel="0" collapsed="false">
      <c r="A702" s="5" t="s">
        <v>109</v>
      </c>
      <c r="B702" s="5" t="s">
        <v>105</v>
      </c>
      <c r="C702" s="5" t="s">
        <v>910</v>
      </c>
      <c r="D702" s="5" t="s">
        <v>911</v>
      </c>
      <c r="E702" s="5" t="s">
        <v>130</v>
      </c>
      <c r="F702" s="5" t="s">
        <v>1056</v>
      </c>
      <c r="G702" s="5" t="s">
        <v>1052</v>
      </c>
    </row>
    <row r="703" customFormat="false" ht="15" hidden="false" customHeight="false" outlineLevel="0" collapsed="false">
      <c r="A703" s="5" t="s">
        <v>109</v>
      </c>
      <c r="B703" s="5" t="s">
        <v>105</v>
      </c>
      <c r="C703" s="5" t="s">
        <v>912</v>
      </c>
      <c r="D703" s="5" t="s">
        <v>911</v>
      </c>
      <c r="E703" s="5" t="s">
        <v>114</v>
      </c>
      <c r="F703" s="5" t="s">
        <v>1055</v>
      </c>
      <c r="G703" s="5" t="s">
        <v>1052</v>
      </c>
    </row>
    <row r="704" customFormat="false" ht="15" hidden="false" customHeight="false" outlineLevel="0" collapsed="false">
      <c r="A704" s="5" t="s">
        <v>109</v>
      </c>
      <c r="B704" s="5" t="s">
        <v>105</v>
      </c>
      <c r="C704" s="5" t="s">
        <v>913</v>
      </c>
      <c r="D704" s="5" t="s">
        <v>911</v>
      </c>
      <c r="E704" s="5" t="s">
        <v>116</v>
      </c>
      <c r="F704" s="5" t="s">
        <v>1055</v>
      </c>
      <c r="G704" s="5" t="s">
        <v>1052</v>
      </c>
    </row>
    <row r="705" customFormat="false" ht="15" hidden="false" customHeight="false" outlineLevel="0" collapsed="false">
      <c r="A705" s="5" t="s">
        <v>109</v>
      </c>
      <c r="B705" s="5" t="s">
        <v>105</v>
      </c>
      <c r="C705" s="5" t="s">
        <v>914</v>
      </c>
      <c r="D705" s="5" t="s">
        <v>911</v>
      </c>
      <c r="E705" s="5" t="s">
        <v>544</v>
      </c>
      <c r="F705" s="5" t="s">
        <v>1055</v>
      </c>
      <c r="G705" s="5" t="s">
        <v>1052</v>
      </c>
    </row>
    <row r="706" customFormat="false" ht="15" hidden="false" customHeight="false" outlineLevel="0" collapsed="false">
      <c r="A706" s="5" t="s">
        <v>109</v>
      </c>
      <c r="B706" s="5" t="s">
        <v>105</v>
      </c>
      <c r="C706" s="5" t="s">
        <v>915</v>
      </c>
      <c r="D706" s="5" t="s">
        <v>911</v>
      </c>
      <c r="E706" s="5" t="s">
        <v>546</v>
      </c>
      <c r="F706" s="5" t="s">
        <v>1055</v>
      </c>
      <c r="G706" s="5" t="s">
        <v>1052</v>
      </c>
    </row>
    <row r="707" customFormat="false" ht="15" hidden="false" customHeight="false" outlineLevel="0" collapsed="false">
      <c r="A707" s="5" t="s">
        <v>109</v>
      </c>
      <c r="B707" s="5" t="s">
        <v>105</v>
      </c>
      <c r="C707" s="5" t="s">
        <v>916</v>
      </c>
      <c r="D707" s="5" t="s">
        <v>911</v>
      </c>
      <c r="E707" s="5" t="s">
        <v>548</v>
      </c>
      <c r="F707" s="5" t="s">
        <v>1055</v>
      </c>
      <c r="G707" s="5" t="s">
        <v>1052</v>
      </c>
    </row>
    <row r="708" customFormat="false" ht="15" hidden="false" customHeight="false" outlineLevel="0" collapsed="false">
      <c r="A708" s="5" t="s">
        <v>109</v>
      </c>
      <c r="B708" s="5" t="s">
        <v>105</v>
      </c>
      <c r="C708" s="5" t="s">
        <v>917</v>
      </c>
      <c r="D708" s="5" t="s">
        <v>911</v>
      </c>
      <c r="E708" s="5" t="s">
        <v>550</v>
      </c>
      <c r="F708" s="5" t="s">
        <v>1055</v>
      </c>
      <c r="G708" s="5" t="s">
        <v>1052</v>
      </c>
    </row>
    <row r="709" customFormat="false" ht="15" hidden="false" customHeight="false" outlineLevel="0" collapsed="false">
      <c r="A709" s="5" t="s">
        <v>109</v>
      </c>
      <c r="B709" s="5" t="s">
        <v>105</v>
      </c>
      <c r="C709" s="5" t="s">
        <v>918</v>
      </c>
      <c r="D709" s="5" t="s">
        <v>911</v>
      </c>
      <c r="E709" s="5" t="s">
        <v>118</v>
      </c>
      <c r="F709" s="5" t="s">
        <v>1055</v>
      </c>
      <c r="G709" s="5" t="s">
        <v>1052</v>
      </c>
    </row>
    <row r="710" customFormat="false" ht="15" hidden="false" customHeight="false" outlineLevel="0" collapsed="false">
      <c r="A710" s="5" t="s">
        <v>109</v>
      </c>
      <c r="B710" s="5" t="s">
        <v>105</v>
      </c>
      <c r="C710" s="5" t="s">
        <v>919</v>
      </c>
      <c r="D710" s="5" t="s">
        <v>911</v>
      </c>
      <c r="E710" s="5" t="s">
        <v>120</v>
      </c>
      <c r="F710" s="5" t="s">
        <v>1055</v>
      </c>
      <c r="G710" s="5" t="s">
        <v>1052</v>
      </c>
    </row>
    <row r="711" customFormat="false" ht="15" hidden="false" customHeight="false" outlineLevel="0" collapsed="false">
      <c r="A711" s="5" t="s">
        <v>109</v>
      </c>
      <c r="B711" s="5" t="s">
        <v>105</v>
      </c>
      <c r="C711" s="5" t="s">
        <v>920</v>
      </c>
      <c r="D711" s="5" t="s">
        <v>911</v>
      </c>
      <c r="E711" s="5" t="s">
        <v>554</v>
      </c>
      <c r="F711" s="5" t="s">
        <v>1055</v>
      </c>
      <c r="G711" s="5" t="s">
        <v>1052</v>
      </c>
    </row>
    <row r="712" customFormat="false" ht="15" hidden="false" customHeight="false" outlineLevel="0" collapsed="false">
      <c r="A712" s="5" t="s">
        <v>100</v>
      </c>
      <c r="B712" s="5" t="s">
        <v>101</v>
      </c>
      <c r="C712" s="5" t="s">
        <v>921</v>
      </c>
      <c r="D712" s="5" t="s">
        <v>922</v>
      </c>
      <c r="E712" s="5" t="s">
        <v>104</v>
      </c>
      <c r="F712" s="5" t="s">
        <v>1056</v>
      </c>
      <c r="G712" s="5" t="s">
        <v>1052</v>
      </c>
    </row>
    <row r="713" customFormat="false" ht="15" hidden="false" customHeight="false" outlineLevel="0" collapsed="false">
      <c r="A713" s="5" t="s">
        <v>100</v>
      </c>
      <c r="B713" s="5" t="s">
        <v>101</v>
      </c>
      <c r="C713" s="5" t="s">
        <v>923</v>
      </c>
      <c r="D713" s="5" t="s">
        <v>922</v>
      </c>
      <c r="E713" s="5" t="s">
        <v>924</v>
      </c>
      <c r="F713" s="5" t="s">
        <v>1056</v>
      </c>
      <c r="G713" s="5" t="s">
        <v>1052</v>
      </c>
    </row>
    <row r="714" customFormat="false" ht="15" hidden="false" customHeight="false" outlineLevel="0" collapsed="false">
      <c r="A714" s="5" t="s">
        <v>100</v>
      </c>
      <c r="B714" s="5" t="s">
        <v>101</v>
      </c>
      <c r="C714" s="5" t="s">
        <v>925</v>
      </c>
      <c r="D714" s="5" t="s">
        <v>922</v>
      </c>
      <c r="E714" s="5" t="s">
        <v>926</v>
      </c>
      <c r="F714" s="5" t="s">
        <v>1056</v>
      </c>
      <c r="G714" s="5" t="s">
        <v>1052</v>
      </c>
    </row>
    <row r="715" customFormat="false" ht="15" hidden="false" customHeight="false" outlineLevel="0" collapsed="false">
      <c r="A715" s="5" t="s">
        <v>100</v>
      </c>
      <c r="B715" s="5" t="s">
        <v>101</v>
      </c>
      <c r="C715" s="5" t="s">
        <v>927</v>
      </c>
      <c r="D715" s="5" t="s">
        <v>922</v>
      </c>
      <c r="E715" s="5" t="s">
        <v>928</v>
      </c>
      <c r="F715" s="5" t="s">
        <v>1056</v>
      </c>
      <c r="G715" s="5" t="s">
        <v>1052</v>
      </c>
    </row>
    <row r="716" customFormat="false" ht="15" hidden="false" customHeight="false" outlineLevel="0" collapsed="false">
      <c r="A716" s="5" t="s">
        <v>100</v>
      </c>
      <c r="B716" s="5" t="s">
        <v>101</v>
      </c>
      <c r="C716" s="5" t="s">
        <v>929</v>
      </c>
      <c r="D716" s="5" t="s">
        <v>922</v>
      </c>
      <c r="E716" s="5" t="s">
        <v>930</v>
      </c>
      <c r="F716" s="5" t="s">
        <v>1056</v>
      </c>
      <c r="G716" s="5" t="s">
        <v>1052</v>
      </c>
    </row>
    <row r="717" customFormat="false" ht="15" hidden="false" customHeight="false" outlineLevel="0" collapsed="false">
      <c r="A717" s="5" t="s">
        <v>100</v>
      </c>
      <c r="B717" s="5" t="s">
        <v>101</v>
      </c>
      <c r="C717" s="5" t="s">
        <v>931</v>
      </c>
      <c r="D717" s="5" t="s">
        <v>932</v>
      </c>
      <c r="E717" s="5" t="s">
        <v>104</v>
      </c>
      <c r="F717" s="5" t="s">
        <v>1056</v>
      </c>
      <c r="G717" s="5" t="s">
        <v>1052</v>
      </c>
    </row>
    <row r="718" customFormat="false" ht="15" hidden="false" customHeight="false" outlineLevel="0" collapsed="false">
      <c r="A718" s="5" t="s">
        <v>100</v>
      </c>
      <c r="B718" s="5" t="s">
        <v>101</v>
      </c>
      <c r="C718" s="5" t="s">
        <v>933</v>
      </c>
      <c r="D718" s="5" t="s">
        <v>932</v>
      </c>
      <c r="E718" s="5" t="s">
        <v>924</v>
      </c>
      <c r="F718" s="5" t="s">
        <v>1056</v>
      </c>
      <c r="G718" s="5" t="s">
        <v>1052</v>
      </c>
    </row>
    <row r="719" customFormat="false" ht="15" hidden="false" customHeight="false" outlineLevel="0" collapsed="false">
      <c r="A719" s="5" t="s">
        <v>100</v>
      </c>
      <c r="B719" s="5" t="s">
        <v>101</v>
      </c>
      <c r="C719" s="5" t="s">
        <v>934</v>
      </c>
      <c r="D719" s="5" t="s">
        <v>932</v>
      </c>
      <c r="E719" s="5" t="s">
        <v>926</v>
      </c>
      <c r="F719" s="5" t="s">
        <v>1056</v>
      </c>
      <c r="G719" s="5" t="s">
        <v>1052</v>
      </c>
    </row>
    <row r="720" customFormat="false" ht="15" hidden="false" customHeight="false" outlineLevel="0" collapsed="false">
      <c r="A720" s="5" t="s">
        <v>100</v>
      </c>
      <c r="B720" s="5" t="s">
        <v>101</v>
      </c>
      <c r="C720" s="5" t="s">
        <v>935</v>
      </c>
      <c r="D720" s="5" t="s">
        <v>932</v>
      </c>
      <c r="E720" s="5" t="s">
        <v>928</v>
      </c>
      <c r="F720" s="5" t="s">
        <v>1056</v>
      </c>
      <c r="G720" s="5" t="s">
        <v>1052</v>
      </c>
    </row>
    <row r="721" customFormat="false" ht="15" hidden="false" customHeight="false" outlineLevel="0" collapsed="false">
      <c r="A721" s="5" t="s">
        <v>100</v>
      </c>
      <c r="B721" s="5" t="s">
        <v>101</v>
      </c>
      <c r="C721" s="5" t="s">
        <v>936</v>
      </c>
      <c r="D721" s="5" t="s">
        <v>932</v>
      </c>
      <c r="E721" s="5" t="s">
        <v>930</v>
      </c>
      <c r="F721" s="5" t="s">
        <v>1056</v>
      </c>
      <c r="G721" s="5" t="s">
        <v>1052</v>
      </c>
    </row>
    <row r="722" customFormat="false" ht="15" hidden="false" customHeight="false" outlineLevel="0" collapsed="false">
      <c r="A722" s="5" t="s">
        <v>100</v>
      </c>
      <c r="B722" s="5" t="s">
        <v>101</v>
      </c>
      <c r="C722" s="5" t="s">
        <v>937</v>
      </c>
      <c r="D722" s="5" t="s">
        <v>938</v>
      </c>
      <c r="E722" s="5" t="s">
        <v>104</v>
      </c>
      <c r="F722" s="5" t="s">
        <v>1056</v>
      </c>
      <c r="G722" s="5" t="s">
        <v>1052</v>
      </c>
    </row>
    <row r="723" customFormat="false" ht="15" hidden="false" customHeight="false" outlineLevel="0" collapsed="false">
      <c r="A723" s="5" t="s">
        <v>100</v>
      </c>
      <c r="B723" s="5" t="s">
        <v>101</v>
      </c>
      <c r="C723" s="5" t="s">
        <v>939</v>
      </c>
      <c r="D723" s="5" t="s">
        <v>938</v>
      </c>
      <c r="E723" s="5" t="s">
        <v>924</v>
      </c>
      <c r="F723" s="5" t="s">
        <v>1056</v>
      </c>
      <c r="G723" s="5" t="s">
        <v>1052</v>
      </c>
    </row>
    <row r="724" customFormat="false" ht="15" hidden="false" customHeight="false" outlineLevel="0" collapsed="false">
      <c r="A724" s="5" t="s">
        <v>100</v>
      </c>
      <c r="B724" s="5" t="s">
        <v>101</v>
      </c>
      <c r="C724" s="5" t="s">
        <v>940</v>
      </c>
      <c r="D724" s="5" t="s">
        <v>938</v>
      </c>
      <c r="E724" s="5" t="s">
        <v>926</v>
      </c>
      <c r="F724" s="5" t="s">
        <v>1056</v>
      </c>
      <c r="G724" s="5" t="s">
        <v>1052</v>
      </c>
    </row>
    <row r="725" customFormat="false" ht="15" hidden="false" customHeight="false" outlineLevel="0" collapsed="false">
      <c r="A725" s="5" t="s">
        <v>100</v>
      </c>
      <c r="B725" s="5" t="s">
        <v>101</v>
      </c>
      <c r="C725" s="5" t="s">
        <v>941</v>
      </c>
      <c r="D725" s="5" t="s">
        <v>938</v>
      </c>
      <c r="E725" s="5" t="s">
        <v>928</v>
      </c>
      <c r="F725" s="5" t="s">
        <v>1056</v>
      </c>
      <c r="G725" s="5" t="s">
        <v>1052</v>
      </c>
    </row>
    <row r="726" customFormat="false" ht="15" hidden="false" customHeight="false" outlineLevel="0" collapsed="false">
      <c r="A726" s="5" t="s">
        <v>100</v>
      </c>
      <c r="B726" s="5" t="s">
        <v>101</v>
      </c>
      <c r="C726" s="5" t="s">
        <v>942</v>
      </c>
      <c r="D726" s="5" t="s">
        <v>938</v>
      </c>
      <c r="E726" s="5" t="s">
        <v>930</v>
      </c>
      <c r="F726" s="5" t="s">
        <v>1056</v>
      </c>
      <c r="G726" s="5" t="s">
        <v>1052</v>
      </c>
    </row>
    <row r="727" customFormat="false" ht="15" hidden="false" customHeight="false" outlineLevel="0" collapsed="false">
      <c r="A727" s="5" t="s">
        <v>100</v>
      </c>
      <c r="B727" s="5" t="s">
        <v>101</v>
      </c>
      <c r="C727" s="5" t="s">
        <v>943</v>
      </c>
      <c r="D727" s="5" t="s">
        <v>944</v>
      </c>
      <c r="E727" s="5" t="s">
        <v>104</v>
      </c>
      <c r="F727" s="5" t="s">
        <v>1056</v>
      </c>
      <c r="G727" s="5" t="s">
        <v>1052</v>
      </c>
    </row>
    <row r="728" customFormat="false" ht="15" hidden="false" customHeight="false" outlineLevel="0" collapsed="false">
      <c r="A728" s="5" t="s">
        <v>100</v>
      </c>
      <c r="B728" s="5" t="s">
        <v>101</v>
      </c>
      <c r="C728" s="5" t="s">
        <v>945</v>
      </c>
      <c r="D728" s="5" t="s">
        <v>944</v>
      </c>
      <c r="E728" s="5" t="s">
        <v>924</v>
      </c>
      <c r="F728" s="5" t="s">
        <v>1056</v>
      </c>
      <c r="G728" s="5" t="s">
        <v>1052</v>
      </c>
    </row>
    <row r="729" customFormat="false" ht="15" hidden="false" customHeight="false" outlineLevel="0" collapsed="false">
      <c r="A729" s="5" t="s">
        <v>100</v>
      </c>
      <c r="B729" s="5" t="s">
        <v>101</v>
      </c>
      <c r="C729" s="5" t="s">
        <v>946</v>
      </c>
      <c r="D729" s="5" t="s">
        <v>944</v>
      </c>
      <c r="E729" s="5" t="s">
        <v>926</v>
      </c>
      <c r="F729" s="5" t="s">
        <v>1056</v>
      </c>
      <c r="G729" s="5" t="s">
        <v>1052</v>
      </c>
    </row>
    <row r="730" customFormat="false" ht="15" hidden="false" customHeight="false" outlineLevel="0" collapsed="false">
      <c r="A730" s="5" t="s">
        <v>100</v>
      </c>
      <c r="B730" s="5" t="s">
        <v>101</v>
      </c>
      <c r="C730" s="5" t="s">
        <v>947</v>
      </c>
      <c r="D730" s="5" t="s">
        <v>944</v>
      </c>
      <c r="E730" s="5" t="s">
        <v>928</v>
      </c>
      <c r="F730" s="5" t="s">
        <v>1056</v>
      </c>
      <c r="G730" s="5" t="s">
        <v>1052</v>
      </c>
    </row>
    <row r="731" customFormat="false" ht="15" hidden="false" customHeight="false" outlineLevel="0" collapsed="false">
      <c r="A731" s="5" t="s">
        <v>100</v>
      </c>
      <c r="B731" s="5" t="s">
        <v>101</v>
      </c>
      <c r="C731" s="5" t="s">
        <v>948</v>
      </c>
      <c r="D731" s="5" t="s">
        <v>944</v>
      </c>
      <c r="E731" s="5" t="s">
        <v>930</v>
      </c>
      <c r="F731" s="5" t="s">
        <v>1056</v>
      </c>
      <c r="G731" s="5" t="s">
        <v>1052</v>
      </c>
    </row>
    <row r="732" customFormat="false" ht="15" hidden="false" customHeight="false" outlineLevel="0" collapsed="false">
      <c r="A732" s="5" t="s">
        <v>100</v>
      </c>
      <c r="B732" s="5" t="s">
        <v>101</v>
      </c>
      <c r="C732" s="5" t="s">
        <v>949</v>
      </c>
      <c r="D732" s="5" t="s">
        <v>950</v>
      </c>
      <c r="E732" s="5" t="s">
        <v>104</v>
      </c>
      <c r="F732" s="5" t="s">
        <v>1056</v>
      </c>
      <c r="G732" s="5" t="s">
        <v>1052</v>
      </c>
    </row>
    <row r="733" customFormat="false" ht="15" hidden="false" customHeight="false" outlineLevel="0" collapsed="false">
      <c r="A733" s="5" t="s">
        <v>100</v>
      </c>
      <c r="B733" s="5" t="s">
        <v>101</v>
      </c>
      <c r="C733" s="5" t="s">
        <v>951</v>
      </c>
      <c r="D733" s="5" t="s">
        <v>950</v>
      </c>
      <c r="E733" s="5" t="s">
        <v>924</v>
      </c>
      <c r="F733" s="5" t="s">
        <v>1056</v>
      </c>
      <c r="G733" s="5" t="s">
        <v>1052</v>
      </c>
    </row>
    <row r="734" customFormat="false" ht="15" hidden="false" customHeight="false" outlineLevel="0" collapsed="false">
      <c r="A734" s="5" t="s">
        <v>100</v>
      </c>
      <c r="B734" s="5" t="s">
        <v>101</v>
      </c>
      <c r="C734" s="5" t="s">
        <v>952</v>
      </c>
      <c r="D734" s="5" t="s">
        <v>950</v>
      </c>
      <c r="E734" s="5" t="s">
        <v>926</v>
      </c>
      <c r="F734" s="5" t="s">
        <v>1056</v>
      </c>
      <c r="G734" s="5" t="s">
        <v>1052</v>
      </c>
    </row>
    <row r="735" customFormat="false" ht="15" hidden="false" customHeight="false" outlineLevel="0" collapsed="false">
      <c r="A735" s="5" t="s">
        <v>100</v>
      </c>
      <c r="B735" s="5" t="s">
        <v>101</v>
      </c>
      <c r="C735" s="5" t="s">
        <v>953</v>
      </c>
      <c r="D735" s="5" t="s">
        <v>950</v>
      </c>
      <c r="E735" s="5" t="s">
        <v>928</v>
      </c>
      <c r="F735" s="5" t="s">
        <v>1056</v>
      </c>
      <c r="G735" s="5" t="s">
        <v>1052</v>
      </c>
    </row>
    <row r="736" customFormat="false" ht="15" hidden="false" customHeight="false" outlineLevel="0" collapsed="false">
      <c r="A736" s="5" t="s">
        <v>100</v>
      </c>
      <c r="B736" s="5" t="s">
        <v>101</v>
      </c>
      <c r="C736" s="5" t="s">
        <v>954</v>
      </c>
      <c r="D736" s="5" t="s">
        <v>950</v>
      </c>
      <c r="E736" s="5" t="s">
        <v>930</v>
      </c>
      <c r="F736" s="5" t="s">
        <v>1056</v>
      </c>
      <c r="G736" s="5" t="s">
        <v>1052</v>
      </c>
    </row>
    <row r="737" customFormat="false" ht="15" hidden="false" customHeight="false" outlineLevel="0" collapsed="false">
      <c r="A737" s="5" t="s">
        <v>100</v>
      </c>
      <c r="B737" s="5" t="s">
        <v>101</v>
      </c>
      <c r="C737" s="5" t="s">
        <v>955</v>
      </c>
      <c r="D737" s="5" t="s">
        <v>956</v>
      </c>
      <c r="E737" s="5" t="s">
        <v>104</v>
      </c>
      <c r="F737" s="5" t="s">
        <v>1056</v>
      </c>
      <c r="G737" s="5" t="s">
        <v>1052</v>
      </c>
    </row>
    <row r="738" customFormat="false" ht="15" hidden="false" customHeight="false" outlineLevel="0" collapsed="false">
      <c r="A738" s="5" t="s">
        <v>100</v>
      </c>
      <c r="B738" s="5" t="s">
        <v>101</v>
      </c>
      <c r="C738" s="5" t="s">
        <v>957</v>
      </c>
      <c r="D738" s="5" t="s">
        <v>956</v>
      </c>
      <c r="E738" s="5" t="s">
        <v>924</v>
      </c>
      <c r="F738" s="5" t="s">
        <v>1056</v>
      </c>
      <c r="G738" s="5" t="s">
        <v>1052</v>
      </c>
    </row>
    <row r="739" customFormat="false" ht="15" hidden="false" customHeight="false" outlineLevel="0" collapsed="false">
      <c r="A739" s="5" t="s">
        <v>100</v>
      </c>
      <c r="B739" s="5" t="s">
        <v>101</v>
      </c>
      <c r="C739" s="5" t="s">
        <v>958</v>
      </c>
      <c r="D739" s="5" t="s">
        <v>956</v>
      </c>
      <c r="E739" s="5" t="s">
        <v>926</v>
      </c>
      <c r="F739" s="5" t="s">
        <v>1056</v>
      </c>
      <c r="G739" s="5" t="s">
        <v>1052</v>
      </c>
    </row>
    <row r="740" customFormat="false" ht="15" hidden="false" customHeight="false" outlineLevel="0" collapsed="false">
      <c r="A740" s="5" t="s">
        <v>100</v>
      </c>
      <c r="B740" s="5" t="s">
        <v>101</v>
      </c>
      <c r="C740" s="5" t="s">
        <v>959</v>
      </c>
      <c r="D740" s="5" t="s">
        <v>956</v>
      </c>
      <c r="E740" s="5" t="s">
        <v>928</v>
      </c>
      <c r="F740" s="5" t="s">
        <v>1056</v>
      </c>
      <c r="G740" s="5" t="s">
        <v>1052</v>
      </c>
    </row>
    <row r="741" customFormat="false" ht="15" hidden="false" customHeight="false" outlineLevel="0" collapsed="false">
      <c r="A741" s="5" t="s">
        <v>100</v>
      </c>
      <c r="B741" s="5" t="s">
        <v>101</v>
      </c>
      <c r="C741" s="5" t="s">
        <v>960</v>
      </c>
      <c r="D741" s="5" t="s">
        <v>956</v>
      </c>
      <c r="E741" s="5" t="s">
        <v>930</v>
      </c>
      <c r="F741" s="5" t="s">
        <v>1056</v>
      </c>
      <c r="G741" s="5" t="s">
        <v>1052</v>
      </c>
    </row>
    <row r="742" customFormat="false" ht="15" hidden="false" customHeight="false" outlineLevel="0" collapsed="false">
      <c r="A742" s="5" t="s">
        <v>100</v>
      </c>
      <c r="B742" s="5" t="s">
        <v>101</v>
      </c>
      <c r="C742" s="5" t="s">
        <v>525</v>
      </c>
      <c r="D742" s="5" t="s">
        <v>961</v>
      </c>
      <c r="E742" s="5" t="s">
        <v>104</v>
      </c>
      <c r="F742" s="5" t="s">
        <v>1056</v>
      </c>
      <c r="G742" s="5" t="s">
        <v>1052</v>
      </c>
    </row>
    <row r="743" customFormat="false" ht="15" hidden="false" customHeight="false" outlineLevel="0" collapsed="false">
      <c r="A743" s="5" t="s">
        <v>100</v>
      </c>
      <c r="B743" s="5" t="s">
        <v>101</v>
      </c>
      <c r="C743" s="5" t="s">
        <v>527</v>
      </c>
      <c r="D743" s="5" t="s">
        <v>961</v>
      </c>
      <c r="E743" s="5" t="s">
        <v>924</v>
      </c>
      <c r="F743" s="5" t="s">
        <v>1056</v>
      </c>
      <c r="G743" s="5" t="s">
        <v>1052</v>
      </c>
    </row>
    <row r="744" customFormat="false" ht="15" hidden="false" customHeight="false" outlineLevel="0" collapsed="false">
      <c r="A744" s="5" t="s">
        <v>100</v>
      </c>
      <c r="B744" s="5" t="s">
        <v>101</v>
      </c>
      <c r="C744" s="5" t="s">
        <v>529</v>
      </c>
      <c r="D744" s="5" t="s">
        <v>961</v>
      </c>
      <c r="E744" s="5" t="s">
        <v>926</v>
      </c>
      <c r="F744" s="5" t="s">
        <v>1056</v>
      </c>
      <c r="G744" s="5" t="s">
        <v>1052</v>
      </c>
    </row>
    <row r="745" customFormat="false" ht="15" hidden="false" customHeight="false" outlineLevel="0" collapsed="false">
      <c r="A745" s="5" t="s">
        <v>100</v>
      </c>
      <c r="B745" s="5" t="s">
        <v>101</v>
      </c>
      <c r="C745" s="5" t="s">
        <v>531</v>
      </c>
      <c r="D745" s="5" t="s">
        <v>961</v>
      </c>
      <c r="E745" s="5" t="s">
        <v>928</v>
      </c>
      <c r="F745" s="5" t="s">
        <v>1056</v>
      </c>
      <c r="G745" s="5" t="s">
        <v>1052</v>
      </c>
    </row>
    <row r="746" customFormat="false" ht="15" hidden="false" customHeight="false" outlineLevel="0" collapsed="false">
      <c r="A746" s="5" t="s">
        <v>100</v>
      </c>
      <c r="B746" s="5" t="s">
        <v>101</v>
      </c>
      <c r="C746" s="5" t="s">
        <v>532</v>
      </c>
      <c r="D746" s="5" t="s">
        <v>961</v>
      </c>
      <c r="E746" s="5" t="s">
        <v>930</v>
      </c>
      <c r="F746" s="5" t="s">
        <v>1056</v>
      </c>
      <c r="G746" s="5" t="s">
        <v>1052</v>
      </c>
    </row>
    <row r="747" customFormat="false" ht="15" hidden="false" customHeight="false" outlineLevel="0" collapsed="false">
      <c r="A747" s="5" t="s">
        <v>100</v>
      </c>
      <c r="B747" s="5" t="s">
        <v>101</v>
      </c>
      <c r="C747" s="5" t="s">
        <v>558</v>
      </c>
      <c r="D747" s="5" t="s">
        <v>962</v>
      </c>
      <c r="E747" s="5" t="s">
        <v>104</v>
      </c>
      <c r="F747" s="5" t="s">
        <v>1056</v>
      </c>
      <c r="G747" s="5" t="s">
        <v>1052</v>
      </c>
    </row>
    <row r="748" customFormat="false" ht="15" hidden="false" customHeight="false" outlineLevel="0" collapsed="false">
      <c r="A748" s="5" t="s">
        <v>100</v>
      </c>
      <c r="B748" s="5" t="s">
        <v>101</v>
      </c>
      <c r="C748" s="5" t="s">
        <v>559</v>
      </c>
      <c r="D748" s="5" t="s">
        <v>962</v>
      </c>
      <c r="E748" s="5" t="s">
        <v>924</v>
      </c>
      <c r="F748" s="5" t="s">
        <v>1056</v>
      </c>
      <c r="G748" s="5" t="s">
        <v>1052</v>
      </c>
    </row>
    <row r="749" customFormat="false" ht="15" hidden="false" customHeight="false" outlineLevel="0" collapsed="false">
      <c r="A749" s="5" t="s">
        <v>100</v>
      </c>
      <c r="B749" s="5" t="s">
        <v>101</v>
      </c>
      <c r="C749" s="5" t="s">
        <v>560</v>
      </c>
      <c r="D749" s="5" t="s">
        <v>962</v>
      </c>
      <c r="E749" s="5" t="s">
        <v>926</v>
      </c>
      <c r="F749" s="5" t="s">
        <v>1056</v>
      </c>
      <c r="G749" s="5" t="s">
        <v>1052</v>
      </c>
    </row>
    <row r="750" customFormat="false" ht="15" hidden="false" customHeight="false" outlineLevel="0" collapsed="false">
      <c r="A750" s="5" t="s">
        <v>100</v>
      </c>
      <c r="B750" s="5" t="s">
        <v>101</v>
      </c>
      <c r="C750" s="5" t="s">
        <v>561</v>
      </c>
      <c r="D750" s="5" t="s">
        <v>962</v>
      </c>
      <c r="E750" s="5" t="s">
        <v>928</v>
      </c>
      <c r="F750" s="5" t="s">
        <v>1056</v>
      </c>
      <c r="G750" s="5" t="s">
        <v>1052</v>
      </c>
    </row>
    <row r="751" customFormat="false" ht="15" hidden="false" customHeight="false" outlineLevel="0" collapsed="false">
      <c r="A751" s="5" t="s">
        <v>100</v>
      </c>
      <c r="B751" s="5" t="s">
        <v>101</v>
      </c>
      <c r="C751" s="5" t="s">
        <v>562</v>
      </c>
      <c r="D751" s="5" t="s">
        <v>962</v>
      </c>
      <c r="E751" s="5" t="s">
        <v>930</v>
      </c>
      <c r="F751" s="5" t="s">
        <v>1056</v>
      </c>
      <c r="G751" s="5" t="s">
        <v>1052</v>
      </c>
    </row>
    <row r="752" customFormat="false" ht="15" hidden="false" customHeight="false" outlineLevel="0" collapsed="false">
      <c r="A752" s="5" t="s">
        <v>100</v>
      </c>
      <c r="B752" s="5" t="s">
        <v>101</v>
      </c>
      <c r="C752" s="5" t="s">
        <v>579</v>
      </c>
      <c r="D752" s="5" t="s">
        <v>963</v>
      </c>
      <c r="E752" s="5" t="s">
        <v>104</v>
      </c>
      <c r="F752" s="5" t="s">
        <v>1056</v>
      </c>
      <c r="G752" s="5" t="s">
        <v>1052</v>
      </c>
    </row>
    <row r="753" customFormat="false" ht="15" hidden="false" customHeight="false" outlineLevel="0" collapsed="false">
      <c r="A753" s="5" t="s">
        <v>100</v>
      </c>
      <c r="B753" s="5" t="s">
        <v>101</v>
      </c>
      <c r="C753" s="5" t="s">
        <v>580</v>
      </c>
      <c r="D753" s="5" t="s">
        <v>963</v>
      </c>
      <c r="E753" s="5" t="s">
        <v>924</v>
      </c>
      <c r="F753" s="5" t="s">
        <v>1056</v>
      </c>
      <c r="G753" s="5" t="s">
        <v>1052</v>
      </c>
    </row>
    <row r="754" customFormat="false" ht="15" hidden="false" customHeight="false" outlineLevel="0" collapsed="false">
      <c r="A754" s="5" t="s">
        <v>100</v>
      </c>
      <c r="B754" s="5" t="s">
        <v>101</v>
      </c>
      <c r="C754" s="5" t="s">
        <v>581</v>
      </c>
      <c r="D754" s="5" t="s">
        <v>963</v>
      </c>
      <c r="E754" s="5" t="s">
        <v>926</v>
      </c>
      <c r="F754" s="5" t="s">
        <v>1056</v>
      </c>
      <c r="G754" s="5" t="s">
        <v>1052</v>
      </c>
    </row>
    <row r="755" customFormat="false" ht="15" hidden="false" customHeight="false" outlineLevel="0" collapsed="false">
      <c r="A755" s="5" t="s">
        <v>100</v>
      </c>
      <c r="B755" s="5" t="s">
        <v>101</v>
      </c>
      <c r="C755" s="5" t="s">
        <v>582</v>
      </c>
      <c r="D755" s="5" t="s">
        <v>963</v>
      </c>
      <c r="E755" s="5" t="s">
        <v>928</v>
      </c>
      <c r="F755" s="5" t="s">
        <v>1056</v>
      </c>
      <c r="G755" s="5" t="s">
        <v>1052</v>
      </c>
    </row>
    <row r="756" customFormat="false" ht="15" hidden="false" customHeight="false" outlineLevel="0" collapsed="false">
      <c r="A756" s="5" t="s">
        <v>100</v>
      </c>
      <c r="B756" s="5" t="s">
        <v>101</v>
      </c>
      <c r="C756" s="5" t="s">
        <v>583</v>
      </c>
      <c r="D756" s="5" t="s">
        <v>963</v>
      </c>
      <c r="E756" s="5" t="s">
        <v>930</v>
      </c>
      <c r="F756" s="5" t="s">
        <v>1056</v>
      </c>
      <c r="G756" s="5" t="s">
        <v>1052</v>
      </c>
    </row>
    <row r="757" customFormat="false" ht="15" hidden="false" customHeight="false" outlineLevel="0" collapsed="false">
      <c r="A757" s="5" t="s">
        <v>100</v>
      </c>
      <c r="B757" s="5" t="s">
        <v>101</v>
      </c>
      <c r="C757" s="5" t="s">
        <v>599</v>
      </c>
      <c r="D757" s="5" t="s">
        <v>964</v>
      </c>
      <c r="E757" s="5" t="s">
        <v>104</v>
      </c>
      <c r="F757" s="5" t="s">
        <v>1056</v>
      </c>
      <c r="G757" s="5" t="s">
        <v>1052</v>
      </c>
    </row>
    <row r="758" customFormat="false" ht="15" hidden="false" customHeight="false" outlineLevel="0" collapsed="false">
      <c r="A758" s="5" t="s">
        <v>100</v>
      </c>
      <c r="B758" s="5" t="s">
        <v>101</v>
      </c>
      <c r="C758" s="5" t="s">
        <v>600</v>
      </c>
      <c r="D758" s="5" t="s">
        <v>964</v>
      </c>
      <c r="E758" s="5" t="s">
        <v>924</v>
      </c>
      <c r="F758" s="5" t="s">
        <v>1056</v>
      </c>
      <c r="G758" s="5" t="s">
        <v>1052</v>
      </c>
    </row>
    <row r="759" customFormat="false" ht="15" hidden="false" customHeight="false" outlineLevel="0" collapsed="false">
      <c r="A759" s="5" t="s">
        <v>100</v>
      </c>
      <c r="B759" s="5" t="s">
        <v>101</v>
      </c>
      <c r="C759" s="5" t="s">
        <v>601</v>
      </c>
      <c r="D759" s="5" t="s">
        <v>964</v>
      </c>
      <c r="E759" s="5" t="s">
        <v>926</v>
      </c>
      <c r="F759" s="5" t="s">
        <v>1056</v>
      </c>
      <c r="G759" s="5" t="s">
        <v>1052</v>
      </c>
    </row>
    <row r="760" customFormat="false" ht="15" hidden="false" customHeight="false" outlineLevel="0" collapsed="false">
      <c r="A760" s="5" t="s">
        <v>100</v>
      </c>
      <c r="B760" s="5" t="s">
        <v>101</v>
      </c>
      <c r="C760" s="5" t="s">
        <v>110</v>
      </c>
      <c r="D760" s="5" t="s">
        <v>964</v>
      </c>
      <c r="E760" s="5" t="s">
        <v>928</v>
      </c>
      <c r="F760" s="5" t="s">
        <v>1056</v>
      </c>
      <c r="G760" s="5" t="s">
        <v>1052</v>
      </c>
    </row>
    <row r="761" customFormat="false" ht="15" hidden="false" customHeight="false" outlineLevel="0" collapsed="false">
      <c r="A761" s="5" t="s">
        <v>100</v>
      </c>
      <c r="B761" s="5" t="s">
        <v>101</v>
      </c>
      <c r="C761" s="5" t="s">
        <v>602</v>
      </c>
      <c r="D761" s="5" t="s">
        <v>964</v>
      </c>
      <c r="E761" s="5" t="s">
        <v>930</v>
      </c>
      <c r="F761" s="5" t="s">
        <v>1056</v>
      </c>
      <c r="G761" s="5" t="s">
        <v>1052</v>
      </c>
    </row>
    <row r="762" customFormat="false" ht="15" hidden="false" customHeight="false" outlineLevel="0" collapsed="false">
      <c r="A762" s="5" t="s">
        <v>100</v>
      </c>
      <c r="B762" s="5" t="s">
        <v>101</v>
      </c>
      <c r="C762" s="5" t="s">
        <v>615</v>
      </c>
      <c r="D762" s="5" t="s">
        <v>965</v>
      </c>
      <c r="E762" s="5" t="s">
        <v>104</v>
      </c>
      <c r="F762" s="5" t="s">
        <v>1056</v>
      </c>
      <c r="G762" s="5" t="s">
        <v>1052</v>
      </c>
    </row>
    <row r="763" customFormat="false" ht="15" hidden="false" customHeight="false" outlineLevel="0" collapsed="false">
      <c r="A763" s="5" t="s">
        <v>100</v>
      </c>
      <c r="B763" s="5" t="s">
        <v>101</v>
      </c>
      <c r="C763" s="5" t="s">
        <v>616</v>
      </c>
      <c r="D763" s="5" t="s">
        <v>965</v>
      </c>
      <c r="E763" s="5" t="s">
        <v>924</v>
      </c>
      <c r="F763" s="5" t="s">
        <v>1056</v>
      </c>
      <c r="G763" s="5" t="s">
        <v>1052</v>
      </c>
    </row>
    <row r="764" customFormat="false" ht="15" hidden="false" customHeight="false" outlineLevel="0" collapsed="false">
      <c r="A764" s="5" t="s">
        <v>100</v>
      </c>
      <c r="B764" s="5" t="s">
        <v>101</v>
      </c>
      <c r="C764" s="5" t="s">
        <v>617</v>
      </c>
      <c r="D764" s="5" t="s">
        <v>965</v>
      </c>
      <c r="E764" s="5" t="s">
        <v>926</v>
      </c>
      <c r="F764" s="5" t="s">
        <v>1056</v>
      </c>
      <c r="G764" s="5" t="s">
        <v>1052</v>
      </c>
    </row>
    <row r="765" customFormat="false" ht="15" hidden="false" customHeight="false" outlineLevel="0" collapsed="false">
      <c r="A765" s="5" t="s">
        <v>100</v>
      </c>
      <c r="B765" s="5" t="s">
        <v>101</v>
      </c>
      <c r="C765" s="5" t="s">
        <v>618</v>
      </c>
      <c r="D765" s="5" t="s">
        <v>965</v>
      </c>
      <c r="E765" s="5" t="s">
        <v>928</v>
      </c>
      <c r="F765" s="5" t="s">
        <v>1056</v>
      </c>
      <c r="G765" s="5" t="s">
        <v>1052</v>
      </c>
    </row>
    <row r="766" customFormat="false" ht="15" hidden="false" customHeight="false" outlineLevel="0" collapsed="false">
      <c r="A766" s="5" t="s">
        <v>100</v>
      </c>
      <c r="B766" s="5" t="s">
        <v>101</v>
      </c>
      <c r="C766" s="5" t="s">
        <v>619</v>
      </c>
      <c r="D766" s="5" t="s">
        <v>965</v>
      </c>
      <c r="E766" s="5" t="s">
        <v>930</v>
      </c>
      <c r="F766" s="5" t="s">
        <v>1056</v>
      </c>
      <c r="G766" s="5" t="s">
        <v>1052</v>
      </c>
    </row>
    <row r="767" customFormat="false" ht="15" hidden="false" customHeight="false" outlineLevel="0" collapsed="false">
      <c r="A767" s="5" t="s">
        <v>100</v>
      </c>
      <c r="B767" s="5" t="s">
        <v>101</v>
      </c>
      <c r="C767" s="5" t="s">
        <v>635</v>
      </c>
      <c r="D767" s="5" t="s">
        <v>966</v>
      </c>
      <c r="E767" s="5" t="s">
        <v>104</v>
      </c>
      <c r="F767" s="5" t="s">
        <v>1056</v>
      </c>
      <c r="G767" s="5" t="s">
        <v>1052</v>
      </c>
    </row>
    <row r="768" customFormat="false" ht="15" hidden="false" customHeight="false" outlineLevel="0" collapsed="false">
      <c r="A768" s="5" t="s">
        <v>100</v>
      </c>
      <c r="B768" s="5" t="s">
        <v>101</v>
      </c>
      <c r="C768" s="5" t="s">
        <v>636</v>
      </c>
      <c r="D768" s="5" t="s">
        <v>966</v>
      </c>
      <c r="E768" s="5" t="s">
        <v>924</v>
      </c>
      <c r="F768" s="5" t="s">
        <v>1056</v>
      </c>
      <c r="G768" s="5" t="s">
        <v>1052</v>
      </c>
    </row>
    <row r="769" customFormat="false" ht="15" hidden="false" customHeight="false" outlineLevel="0" collapsed="false">
      <c r="A769" s="5" t="s">
        <v>100</v>
      </c>
      <c r="B769" s="5" t="s">
        <v>101</v>
      </c>
      <c r="C769" s="5" t="s">
        <v>637</v>
      </c>
      <c r="D769" s="5" t="s">
        <v>966</v>
      </c>
      <c r="E769" s="5" t="s">
        <v>926</v>
      </c>
      <c r="F769" s="5" t="s">
        <v>1056</v>
      </c>
      <c r="G769" s="5" t="s">
        <v>1052</v>
      </c>
    </row>
    <row r="770" customFormat="false" ht="15" hidden="false" customHeight="false" outlineLevel="0" collapsed="false">
      <c r="A770" s="5" t="s">
        <v>100</v>
      </c>
      <c r="B770" s="5" t="s">
        <v>101</v>
      </c>
      <c r="C770" s="5" t="s">
        <v>638</v>
      </c>
      <c r="D770" s="5" t="s">
        <v>966</v>
      </c>
      <c r="E770" s="5" t="s">
        <v>928</v>
      </c>
      <c r="F770" s="5" t="s">
        <v>1056</v>
      </c>
      <c r="G770" s="5" t="s">
        <v>1052</v>
      </c>
    </row>
    <row r="771" customFormat="false" ht="15" hidden="false" customHeight="false" outlineLevel="0" collapsed="false">
      <c r="A771" s="5" t="s">
        <v>100</v>
      </c>
      <c r="B771" s="5" t="s">
        <v>101</v>
      </c>
      <c r="C771" s="5" t="s">
        <v>639</v>
      </c>
      <c r="D771" s="5" t="s">
        <v>966</v>
      </c>
      <c r="E771" s="5" t="s">
        <v>930</v>
      </c>
      <c r="F771" s="5" t="s">
        <v>1056</v>
      </c>
      <c r="G771" s="5" t="s">
        <v>1052</v>
      </c>
    </row>
    <row r="772" customFormat="false" ht="15" hidden="false" customHeight="false" outlineLevel="0" collapsed="false">
      <c r="A772" s="5" t="s">
        <v>100</v>
      </c>
      <c r="B772" s="5" t="s">
        <v>101</v>
      </c>
      <c r="C772" s="5" t="s">
        <v>651</v>
      </c>
      <c r="D772" s="5" t="s">
        <v>967</v>
      </c>
      <c r="E772" s="5" t="s">
        <v>104</v>
      </c>
      <c r="F772" s="5" t="s">
        <v>1056</v>
      </c>
      <c r="G772" s="5" t="s">
        <v>1052</v>
      </c>
    </row>
    <row r="773" customFormat="false" ht="15" hidden="false" customHeight="false" outlineLevel="0" collapsed="false">
      <c r="A773" s="5" t="s">
        <v>100</v>
      </c>
      <c r="B773" s="5" t="s">
        <v>101</v>
      </c>
      <c r="C773" s="5" t="s">
        <v>652</v>
      </c>
      <c r="D773" s="5" t="s">
        <v>967</v>
      </c>
      <c r="E773" s="5" t="s">
        <v>924</v>
      </c>
      <c r="F773" s="5" t="s">
        <v>1056</v>
      </c>
      <c r="G773" s="5" t="s">
        <v>1052</v>
      </c>
    </row>
    <row r="774" customFormat="false" ht="15" hidden="false" customHeight="false" outlineLevel="0" collapsed="false">
      <c r="A774" s="5" t="s">
        <v>100</v>
      </c>
      <c r="B774" s="5" t="s">
        <v>101</v>
      </c>
      <c r="C774" s="5" t="s">
        <v>653</v>
      </c>
      <c r="D774" s="5" t="s">
        <v>967</v>
      </c>
      <c r="E774" s="5" t="s">
        <v>926</v>
      </c>
      <c r="F774" s="5" t="s">
        <v>1056</v>
      </c>
      <c r="G774" s="5" t="s">
        <v>1052</v>
      </c>
    </row>
    <row r="775" customFormat="false" ht="15" hidden="false" customHeight="false" outlineLevel="0" collapsed="false">
      <c r="A775" s="5" t="s">
        <v>100</v>
      </c>
      <c r="B775" s="5" t="s">
        <v>101</v>
      </c>
      <c r="C775" s="5" t="s">
        <v>654</v>
      </c>
      <c r="D775" s="5" t="s">
        <v>967</v>
      </c>
      <c r="E775" s="5" t="s">
        <v>928</v>
      </c>
      <c r="F775" s="5" t="s">
        <v>1056</v>
      </c>
      <c r="G775" s="5" t="s">
        <v>1052</v>
      </c>
    </row>
    <row r="776" customFormat="false" ht="15" hidden="false" customHeight="false" outlineLevel="0" collapsed="false">
      <c r="A776" s="5" t="s">
        <v>100</v>
      </c>
      <c r="B776" s="5" t="s">
        <v>101</v>
      </c>
      <c r="C776" s="5" t="s">
        <v>655</v>
      </c>
      <c r="D776" s="5" t="s">
        <v>967</v>
      </c>
      <c r="E776" s="5" t="s">
        <v>930</v>
      </c>
      <c r="F776" s="5" t="s">
        <v>1056</v>
      </c>
      <c r="G776" s="5" t="s">
        <v>1052</v>
      </c>
    </row>
    <row r="777" customFormat="false" ht="15" hidden="false" customHeight="false" outlineLevel="0" collapsed="false">
      <c r="A777" s="5" t="s">
        <v>100</v>
      </c>
      <c r="B777" s="5" t="s">
        <v>101</v>
      </c>
      <c r="C777" s="5" t="s">
        <v>672</v>
      </c>
      <c r="D777" s="5" t="s">
        <v>968</v>
      </c>
      <c r="E777" s="5" t="s">
        <v>104</v>
      </c>
      <c r="F777" s="5" t="s">
        <v>1056</v>
      </c>
      <c r="G777" s="5" t="s">
        <v>1052</v>
      </c>
    </row>
    <row r="778" customFormat="false" ht="15" hidden="false" customHeight="false" outlineLevel="0" collapsed="false">
      <c r="A778" s="5" t="s">
        <v>100</v>
      </c>
      <c r="B778" s="5" t="s">
        <v>101</v>
      </c>
      <c r="C778" s="5" t="s">
        <v>673</v>
      </c>
      <c r="D778" s="5" t="s">
        <v>968</v>
      </c>
      <c r="E778" s="5" t="s">
        <v>924</v>
      </c>
      <c r="F778" s="5" t="s">
        <v>1056</v>
      </c>
      <c r="G778" s="5" t="s">
        <v>1052</v>
      </c>
    </row>
    <row r="779" customFormat="false" ht="15" hidden="false" customHeight="false" outlineLevel="0" collapsed="false">
      <c r="A779" s="5" t="s">
        <v>100</v>
      </c>
      <c r="B779" s="5" t="s">
        <v>101</v>
      </c>
      <c r="C779" s="5" t="s">
        <v>674</v>
      </c>
      <c r="D779" s="5" t="s">
        <v>968</v>
      </c>
      <c r="E779" s="5" t="s">
        <v>926</v>
      </c>
      <c r="F779" s="5" t="s">
        <v>1056</v>
      </c>
      <c r="G779" s="5" t="s">
        <v>1052</v>
      </c>
    </row>
    <row r="780" customFormat="false" ht="15" hidden="false" customHeight="false" outlineLevel="0" collapsed="false">
      <c r="A780" s="5" t="s">
        <v>100</v>
      </c>
      <c r="B780" s="5" t="s">
        <v>101</v>
      </c>
      <c r="C780" s="5" t="s">
        <v>675</v>
      </c>
      <c r="D780" s="5" t="s">
        <v>968</v>
      </c>
      <c r="E780" s="5" t="s">
        <v>928</v>
      </c>
      <c r="F780" s="5" t="s">
        <v>1056</v>
      </c>
      <c r="G780" s="5" t="s">
        <v>1052</v>
      </c>
    </row>
    <row r="781" customFormat="false" ht="15" hidden="false" customHeight="false" outlineLevel="0" collapsed="false">
      <c r="A781" s="5" t="s">
        <v>100</v>
      </c>
      <c r="B781" s="5" t="s">
        <v>101</v>
      </c>
      <c r="C781" s="5" t="s">
        <v>676</v>
      </c>
      <c r="D781" s="5" t="s">
        <v>968</v>
      </c>
      <c r="E781" s="5" t="s">
        <v>930</v>
      </c>
      <c r="F781" s="5" t="s">
        <v>1056</v>
      </c>
      <c r="G781" s="5" t="s">
        <v>1052</v>
      </c>
    </row>
    <row r="782" customFormat="false" ht="15" hidden="false" customHeight="false" outlineLevel="0" collapsed="false">
      <c r="A782" s="5" t="s">
        <v>100</v>
      </c>
      <c r="B782" s="5" t="s">
        <v>101</v>
      </c>
      <c r="C782" s="5" t="s">
        <v>693</v>
      </c>
      <c r="D782" s="5" t="s">
        <v>969</v>
      </c>
      <c r="E782" s="5" t="s">
        <v>104</v>
      </c>
      <c r="F782" s="5" t="s">
        <v>1056</v>
      </c>
      <c r="G782" s="5" t="s">
        <v>1052</v>
      </c>
    </row>
    <row r="783" customFormat="false" ht="15" hidden="false" customHeight="false" outlineLevel="0" collapsed="false">
      <c r="A783" s="5" t="s">
        <v>100</v>
      </c>
      <c r="B783" s="5" t="s">
        <v>101</v>
      </c>
      <c r="C783" s="5" t="s">
        <v>694</v>
      </c>
      <c r="D783" s="5" t="s">
        <v>969</v>
      </c>
      <c r="E783" s="5" t="s">
        <v>924</v>
      </c>
      <c r="F783" s="5" t="s">
        <v>1056</v>
      </c>
      <c r="G783" s="5" t="s">
        <v>1052</v>
      </c>
    </row>
    <row r="784" customFormat="false" ht="15" hidden="false" customHeight="false" outlineLevel="0" collapsed="false">
      <c r="A784" s="5" t="s">
        <v>100</v>
      </c>
      <c r="B784" s="5" t="s">
        <v>101</v>
      </c>
      <c r="C784" s="5" t="s">
        <v>695</v>
      </c>
      <c r="D784" s="5" t="s">
        <v>969</v>
      </c>
      <c r="E784" s="5" t="s">
        <v>926</v>
      </c>
      <c r="F784" s="5" t="s">
        <v>1056</v>
      </c>
      <c r="G784" s="5" t="s">
        <v>1052</v>
      </c>
    </row>
    <row r="785" customFormat="false" ht="15" hidden="false" customHeight="false" outlineLevel="0" collapsed="false">
      <c r="A785" s="5" t="s">
        <v>100</v>
      </c>
      <c r="B785" s="5" t="s">
        <v>101</v>
      </c>
      <c r="C785" s="5" t="s">
        <v>696</v>
      </c>
      <c r="D785" s="5" t="s">
        <v>969</v>
      </c>
      <c r="E785" s="5" t="s">
        <v>928</v>
      </c>
      <c r="F785" s="5" t="s">
        <v>1056</v>
      </c>
      <c r="G785" s="5" t="s">
        <v>1052</v>
      </c>
    </row>
    <row r="786" customFormat="false" ht="15" hidden="false" customHeight="false" outlineLevel="0" collapsed="false">
      <c r="A786" s="5" t="s">
        <v>100</v>
      </c>
      <c r="B786" s="5" t="s">
        <v>101</v>
      </c>
      <c r="C786" s="5" t="s">
        <v>697</v>
      </c>
      <c r="D786" s="5" t="s">
        <v>969</v>
      </c>
      <c r="E786" s="5" t="s">
        <v>930</v>
      </c>
      <c r="F786" s="5" t="s">
        <v>1056</v>
      </c>
      <c r="G786" s="5" t="s">
        <v>1052</v>
      </c>
    </row>
    <row r="787" customFormat="false" ht="15" hidden="false" customHeight="false" outlineLevel="0" collapsed="false">
      <c r="A787" s="5" t="s">
        <v>100</v>
      </c>
      <c r="B787" s="5" t="s">
        <v>101</v>
      </c>
      <c r="C787" s="5" t="s">
        <v>714</v>
      </c>
      <c r="D787" s="5" t="s">
        <v>970</v>
      </c>
      <c r="E787" s="5" t="s">
        <v>104</v>
      </c>
      <c r="F787" s="5" t="s">
        <v>1056</v>
      </c>
      <c r="G787" s="5" t="s">
        <v>1052</v>
      </c>
    </row>
    <row r="788" customFormat="false" ht="15" hidden="false" customHeight="false" outlineLevel="0" collapsed="false">
      <c r="A788" s="5" t="s">
        <v>100</v>
      </c>
      <c r="B788" s="5" t="s">
        <v>101</v>
      </c>
      <c r="C788" s="5" t="s">
        <v>715</v>
      </c>
      <c r="D788" s="5" t="s">
        <v>970</v>
      </c>
      <c r="E788" s="5" t="s">
        <v>924</v>
      </c>
      <c r="F788" s="5" t="s">
        <v>1056</v>
      </c>
      <c r="G788" s="5" t="s">
        <v>1052</v>
      </c>
    </row>
    <row r="789" customFormat="false" ht="15" hidden="false" customHeight="false" outlineLevel="0" collapsed="false">
      <c r="A789" s="5" t="s">
        <v>100</v>
      </c>
      <c r="B789" s="5" t="s">
        <v>101</v>
      </c>
      <c r="C789" s="5" t="s">
        <v>716</v>
      </c>
      <c r="D789" s="5" t="s">
        <v>970</v>
      </c>
      <c r="E789" s="5" t="s">
        <v>926</v>
      </c>
      <c r="F789" s="5" t="s">
        <v>1056</v>
      </c>
      <c r="G789" s="5" t="s">
        <v>1052</v>
      </c>
    </row>
    <row r="790" customFormat="false" ht="15" hidden="false" customHeight="false" outlineLevel="0" collapsed="false">
      <c r="A790" s="5" t="s">
        <v>100</v>
      </c>
      <c r="B790" s="5" t="s">
        <v>101</v>
      </c>
      <c r="C790" s="5" t="s">
        <v>717</v>
      </c>
      <c r="D790" s="5" t="s">
        <v>970</v>
      </c>
      <c r="E790" s="5" t="s">
        <v>928</v>
      </c>
      <c r="F790" s="5" t="s">
        <v>1056</v>
      </c>
      <c r="G790" s="5" t="s">
        <v>1052</v>
      </c>
    </row>
    <row r="791" customFormat="false" ht="15" hidden="false" customHeight="false" outlineLevel="0" collapsed="false">
      <c r="A791" s="5" t="s">
        <v>100</v>
      </c>
      <c r="B791" s="5" t="s">
        <v>101</v>
      </c>
      <c r="C791" s="5" t="s">
        <v>718</v>
      </c>
      <c r="D791" s="5" t="s">
        <v>970</v>
      </c>
      <c r="E791" s="5" t="s">
        <v>930</v>
      </c>
      <c r="F791" s="5" t="s">
        <v>1056</v>
      </c>
      <c r="G791" s="5" t="s">
        <v>1052</v>
      </c>
    </row>
    <row r="792" customFormat="false" ht="15" hidden="false" customHeight="false" outlineLevel="0" collapsed="false">
      <c r="A792" s="5" t="s">
        <v>100</v>
      </c>
      <c r="B792" s="5" t="s">
        <v>101</v>
      </c>
      <c r="C792" s="5" t="s">
        <v>735</v>
      </c>
      <c r="D792" s="5" t="s">
        <v>971</v>
      </c>
      <c r="E792" s="5" t="s">
        <v>104</v>
      </c>
      <c r="F792" s="5" t="s">
        <v>1056</v>
      </c>
      <c r="G792" s="5" t="s">
        <v>1052</v>
      </c>
    </row>
    <row r="793" customFormat="false" ht="15" hidden="false" customHeight="false" outlineLevel="0" collapsed="false">
      <c r="A793" s="5" t="s">
        <v>100</v>
      </c>
      <c r="B793" s="5" t="s">
        <v>101</v>
      </c>
      <c r="C793" s="5" t="s">
        <v>736</v>
      </c>
      <c r="D793" s="5" t="s">
        <v>971</v>
      </c>
      <c r="E793" s="5" t="s">
        <v>924</v>
      </c>
      <c r="F793" s="5" t="s">
        <v>1056</v>
      </c>
      <c r="G793" s="5" t="s">
        <v>1052</v>
      </c>
    </row>
    <row r="794" customFormat="false" ht="15" hidden="false" customHeight="false" outlineLevel="0" collapsed="false">
      <c r="A794" s="5" t="s">
        <v>100</v>
      </c>
      <c r="B794" s="5" t="s">
        <v>101</v>
      </c>
      <c r="C794" s="5" t="s">
        <v>737</v>
      </c>
      <c r="D794" s="5" t="s">
        <v>971</v>
      </c>
      <c r="E794" s="5" t="s">
        <v>926</v>
      </c>
      <c r="F794" s="5" t="s">
        <v>1056</v>
      </c>
      <c r="G794" s="5" t="s">
        <v>1052</v>
      </c>
    </row>
    <row r="795" customFormat="false" ht="15" hidden="false" customHeight="false" outlineLevel="0" collapsed="false">
      <c r="A795" s="5" t="s">
        <v>100</v>
      </c>
      <c r="B795" s="5" t="s">
        <v>101</v>
      </c>
      <c r="C795" s="5" t="s">
        <v>738</v>
      </c>
      <c r="D795" s="5" t="s">
        <v>971</v>
      </c>
      <c r="E795" s="5" t="s">
        <v>928</v>
      </c>
      <c r="F795" s="5" t="s">
        <v>1056</v>
      </c>
      <c r="G795" s="5" t="s">
        <v>1052</v>
      </c>
    </row>
    <row r="796" customFormat="false" ht="15" hidden="false" customHeight="false" outlineLevel="0" collapsed="false">
      <c r="A796" s="5" t="s">
        <v>100</v>
      </c>
      <c r="B796" s="5" t="s">
        <v>101</v>
      </c>
      <c r="C796" s="5" t="s">
        <v>739</v>
      </c>
      <c r="D796" s="5" t="s">
        <v>971</v>
      </c>
      <c r="E796" s="5" t="s">
        <v>930</v>
      </c>
      <c r="F796" s="5" t="s">
        <v>1056</v>
      </c>
      <c r="G796" s="5" t="s">
        <v>1052</v>
      </c>
    </row>
    <row r="797" customFormat="false" ht="15" hidden="false" customHeight="false" outlineLevel="0" collapsed="false">
      <c r="A797" s="5" t="s">
        <v>100</v>
      </c>
      <c r="B797" s="5" t="s">
        <v>101</v>
      </c>
      <c r="C797" s="5" t="s">
        <v>756</v>
      </c>
      <c r="D797" s="5" t="s">
        <v>972</v>
      </c>
      <c r="E797" s="5" t="s">
        <v>104</v>
      </c>
      <c r="F797" s="5" t="s">
        <v>1056</v>
      </c>
      <c r="G797" s="5" t="s">
        <v>1052</v>
      </c>
    </row>
    <row r="798" customFormat="false" ht="15" hidden="false" customHeight="false" outlineLevel="0" collapsed="false">
      <c r="A798" s="5" t="s">
        <v>100</v>
      </c>
      <c r="B798" s="5" t="s">
        <v>101</v>
      </c>
      <c r="C798" s="5" t="s">
        <v>757</v>
      </c>
      <c r="D798" s="5" t="s">
        <v>972</v>
      </c>
      <c r="E798" s="5" t="s">
        <v>924</v>
      </c>
      <c r="F798" s="5" t="s">
        <v>1056</v>
      </c>
      <c r="G798" s="5" t="s">
        <v>1052</v>
      </c>
    </row>
    <row r="799" customFormat="false" ht="15" hidden="false" customHeight="false" outlineLevel="0" collapsed="false">
      <c r="A799" s="5" t="s">
        <v>100</v>
      </c>
      <c r="B799" s="5" t="s">
        <v>101</v>
      </c>
      <c r="C799" s="5" t="s">
        <v>758</v>
      </c>
      <c r="D799" s="5" t="s">
        <v>972</v>
      </c>
      <c r="E799" s="5" t="s">
        <v>926</v>
      </c>
      <c r="F799" s="5" t="s">
        <v>1056</v>
      </c>
      <c r="G799" s="5" t="s">
        <v>1052</v>
      </c>
    </row>
    <row r="800" customFormat="false" ht="15" hidden="false" customHeight="false" outlineLevel="0" collapsed="false">
      <c r="A800" s="5" t="s">
        <v>100</v>
      </c>
      <c r="B800" s="5" t="s">
        <v>101</v>
      </c>
      <c r="C800" s="5" t="s">
        <v>759</v>
      </c>
      <c r="D800" s="5" t="s">
        <v>972</v>
      </c>
      <c r="E800" s="5" t="s">
        <v>928</v>
      </c>
      <c r="F800" s="5" t="s">
        <v>1056</v>
      </c>
      <c r="G800" s="5" t="s">
        <v>1052</v>
      </c>
    </row>
    <row r="801" customFormat="false" ht="15" hidden="false" customHeight="false" outlineLevel="0" collapsed="false">
      <c r="A801" s="5" t="s">
        <v>100</v>
      </c>
      <c r="B801" s="5" t="s">
        <v>101</v>
      </c>
      <c r="C801" s="5" t="s">
        <v>760</v>
      </c>
      <c r="D801" s="5" t="s">
        <v>972</v>
      </c>
      <c r="E801" s="5" t="s">
        <v>930</v>
      </c>
      <c r="F801" s="5" t="s">
        <v>1056</v>
      </c>
      <c r="G801" s="5" t="s">
        <v>1052</v>
      </c>
    </row>
    <row r="802" customFormat="false" ht="15" hidden="false" customHeight="false" outlineLevel="0" collapsed="false">
      <c r="A802" s="5" t="s">
        <v>100</v>
      </c>
      <c r="B802" s="5" t="s">
        <v>101</v>
      </c>
      <c r="C802" s="5" t="s">
        <v>973</v>
      </c>
      <c r="D802" s="5" t="s">
        <v>974</v>
      </c>
      <c r="E802" s="5" t="s">
        <v>104</v>
      </c>
      <c r="F802" s="5" t="s">
        <v>1056</v>
      </c>
      <c r="G802" s="5" t="s">
        <v>1052</v>
      </c>
    </row>
    <row r="803" customFormat="false" ht="15" hidden="false" customHeight="false" outlineLevel="0" collapsed="false">
      <c r="A803" s="5" t="s">
        <v>100</v>
      </c>
      <c r="B803" s="5" t="s">
        <v>101</v>
      </c>
      <c r="C803" s="5" t="s">
        <v>975</v>
      </c>
      <c r="D803" s="5" t="s">
        <v>974</v>
      </c>
      <c r="E803" s="5" t="s">
        <v>924</v>
      </c>
      <c r="F803" s="5" t="s">
        <v>1056</v>
      </c>
      <c r="G803" s="5" t="s">
        <v>1052</v>
      </c>
    </row>
    <row r="804" customFormat="false" ht="15" hidden="false" customHeight="false" outlineLevel="0" collapsed="false">
      <c r="A804" s="5" t="s">
        <v>100</v>
      </c>
      <c r="B804" s="5" t="s">
        <v>101</v>
      </c>
      <c r="C804" s="5" t="s">
        <v>976</v>
      </c>
      <c r="D804" s="5" t="s">
        <v>974</v>
      </c>
      <c r="E804" s="5" t="s">
        <v>926</v>
      </c>
      <c r="F804" s="5" t="s">
        <v>1056</v>
      </c>
      <c r="G804" s="5" t="s">
        <v>1052</v>
      </c>
    </row>
    <row r="805" customFormat="false" ht="15" hidden="false" customHeight="false" outlineLevel="0" collapsed="false">
      <c r="A805" s="5" t="s">
        <v>100</v>
      </c>
      <c r="B805" s="5" t="s">
        <v>101</v>
      </c>
      <c r="C805" s="5" t="s">
        <v>977</v>
      </c>
      <c r="D805" s="5" t="s">
        <v>974</v>
      </c>
      <c r="E805" s="5" t="s">
        <v>928</v>
      </c>
      <c r="F805" s="5" t="s">
        <v>1056</v>
      </c>
      <c r="G805" s="5" t="s">
        <v>1052</v>
      </c>
    </row>
    <row r="806" customFormat="false" ht="15" hidden="false" customHeight="false" outlineLevel="0" collapsed="false">
      <c r="A806" s="5" t="s">
        <v>100</v>
      </c>
      <c r="B806" s="5" t="s">
        <v>101</v>
      </c>
      <c r="C806" s="5" t="s">
        <v>978</v>
      </c>
      <c r="D806" s="5" t="s">
        <v>974</v>
      </c>
      <c r="E806" s="5" t="s">
        <v>930</v>
      </c>
      <c r="F806" s="5" t="s">
        <v>1056</v>
      </c>
      <c r="G806" s="5" t="s">
        <v>1052</v>
      </c>
    </row>
    <row r="807" customFormat="false" ht="15" hidden="false" customHeight="false" outlineLevel="0" collapsed="false">
      <c r="A807" s="5" t="s">
        <v>100</v>
      </c>
      <c r="B807" s="5" t="s">
        <v>101</v>
      </c>
      <c r="C807" s="5" t="s">
        <v>979</v>
      </c>
      <c r="D807" s="5" t="s">
        <v>980</v>
      </c>
      <c r="E807" s="5" t="s">
        <v>104</v>
      </c>
      <c r="F807" s="5" t="s">
        <v>1056</v>
      </c>
      <c r="G807" s="5" t="s">
        <v>1052</v>
      </c>
    </row>
    <row r="808" customFormat="false" ht="15" hidden="false" customHeight="false" outlineLevel="0" collapsed="false">
      <c r="A808" s="5" t="s">
        <v>100</v>
      </c>
      <c r="B808" s="5" t="s">
        <v>101</v>
      </c>
      <c r="C808" s="5" t="s">
        <v>981</v>
      </c>
      <c r="D808" s="5" t="s">
        <v>980</v>
      </c>
      <c r="E808" s="5" t="s">
        <v>924</v>
      </c>
      <c r="F808" s="5" t="s">
        <v>1056</v>
      </c>
      <c r="G808" s="5" t="s">
        <v>1052</v>
      </c>
    </row>
    <row r="809" customFormat="false" ht="15" hidden="false" customHeight="false" outlineLevel="0" collapsed="false">
      <c r="A809" s="5" t="s">
        <v>100</v>
      </c>
      <c r="B809" s="5" t="s">
        <v>101</v>
      </c>
      <c r="C809" s="5" t="s">
        <v>982</v>
      </c>
      <c r="D809" s="5" t="s">
        <v>980</v>
      </c>
      <c r="E809" s="5" t="s">
        <v>926</v>
      </c>
      <c r="F809" s="5" t="s">
        <v>1056</v>
      </c>
      <c r="G809" s="5" t="s">
        <v>1052</v>
      </c>
    </row>
    <row r="810" customFormat="false" ht="15" hidden="false" customHeight="false" outlineLevel="0" collapsed="false">
      <c r="A810" s="5" t="s">
        <v>100</v>
      </c>
      <c r="B810" s="5" t="s">
        <v>101</v>
      </c>
      <c r="C810" s="5" t="s">
        <v>983</v>
      </c>
      <c r="D810" s="5" t="s">
        <v>980</v>
      </c>
      <c r="E810" s="5" t="s">
        <v>928</v>
      </c>
      <c r="F810" s="5" t="s">
        <v>1056</v>
      </c>
      <c r="G810" s="5" t="s">
        <v>1052</v>
      </c>
    </row>
    <row r="811" customFormat="false" ht="15" hidden="false" customHeight="false" outlineLevel="0" collapsed="false">
      <c r="A811" s="5" t="s">
        <v>100</v>
      </c>
      <c r="B811" s="5" t="s">
        <v>101</v>
      </c>
      <c r="C811" s="5" t="s">
        <v>984</v>
      </c>
      <c r="D811" s="5" t="s">
        <v>980</v>
      </c>
      <c r="E811" s="5" t="s">
        <v>930</v>
      </c>
      <c r="F811" s="5" t="s">
        <v>1056</v>
      </c>
      <c r="G811" s="5" t="s">
        <v>1052</v>
      </c>
    </row>
    <row r="812" customFormat="false" ht="15" hidden="false" customHeight="false" outlineLevel="0" collapsed="false">
      <c r="A812" s="5" t="s">
        <v>100</v>
      </c>
      <c r="B812" s="5" t="s">
        <v>101</v>
      </c>
      <c r="C812" s="5" t="s">
        <v>985</v>
      </c>
      <c r="D812" s="5" t="s">
        <v>986</v>
      </c>
      <c r="E812" s="5" t="s">
        <v>104</v>
      </c>
      <c r="F812" s="5" t="s">
        <v>1056</v>
      </c>
      <c r="G812" s="5" t="s">
        <v>1052</v>
      </c>
    </row>
    <row r="813" customFormat="false" ht="15" hidden="false" customHeight="false" outlineLevel="0" collapsed="false">
      <c r="A813" s="5" t="s">
        <v>100</v>
      </c>
      <c r="B813" s="5" t="s">
        <v>101</v>
      </c>
      <c r="C813" s="5" t="s">
        <v>987</v>
      </c>
      <c r="D813" s="5" t="s">
        <v>986</v>
      </c>
      <c r="E813" s="5" t="s">
        <v>924</v>
      </c>
      <c r="F813" s="5" t="s">
        <v>1056</v>
      </c>
      <c r="G813" s="5" t="s">
        <v>1052</v>
      </c>
    </row>
    <row r="814" customFormat="false" ht="15" hidden="false" customHeight="false" outlineLevel="0" collapsed="false">
      <c r="A814" s="5" t="s">
        <v>100</v>
      </c>
      <c r="B814" s="5" t="s">
        <v>101</v>
      </c>
      <c r="C814" s="5" t="s">
        <v>988</v>
      </c>
      <c r="D814" s="5" t="s">
        <v>986</v>
      </c>
      <c r="E814" s="5" t="s">
        <v>926</v>
      </c>
      <c r="F814" s="5" t="s">
        <v>1056</v>
      </c>
      <c r="G814" s="5" t="s">
        <v>1052</v>
      </c>
    </row>
    <row r="815" customFormat="false" ht="15" hidden="false" customHeight="false" outlineLevel="0" collapsed="false">
      <c r="A815" s="5" t="s">
        <v>100</v>
      </c>
      <c r="B815" s="5" t="s">
        <v>101</v>
      </c>
      <c r="C815" s="5" t="s">
        <v>989</v>
      </c>
      <c r="D815" s="5" t="s">
        <v>986</v>
      </c>
      <c r="E815" s="5" t="s">
        <v>928</v>
      </c>
      <c r="F815" s="5" t="s">
        <v>1056</v>
      </c>
      <c r="G815" s="5" t="s">
        <v>1052</v>
      </c>
    </row>
    <row r="816" customFormat="false" ht="15" hidden="false" customHeight="false" outlineLevel="0" collapsed="false">
      <c r="A816" s="5" t="s">
        <v>100</v>
      </c>
      <c r="B816" s="5" t="s">
        <v>101</v>
      </c>
      <c r="C816" s="5" t="s">
        <v>990</v>
      </c>
      <c r="D816" s="5" t="s">
        <v>986</v>
      </c>
      <c r="E816" s="5" t="s">
        <v>930</v>
      </c>
      <c r="F816" s="5" t="s">
        <v>1056</v>
      </c>
      <c r="G816" s="5" t="s">
        <v>1052</v>
      </c>
    </row>
    <row r="817" customFormat="false" ht="15" hidden="false" customHeight="false" outlineLevel="0" collapsed="false">
      <c r="A817" s="5" t="s">
        <v>100</v>
      </c>
      <c r="B817" s="5" t="s">
        <v>101</v>
      </c>
      <c r="C817" s="5" t="s">
        <v>991</v>
      </c>
      <c r="D817" s="5" t="s">
        <v>992</v>
      </c>
      <c r="E817" s="5" t="s">
        <v>104</v>
      </c>
      <c r="F817" s="5" t="s">
        <v>1056</v>
      </c>
      <c r="G817" s="5" t="s">
        <v>1052</v>
      </c>
    </row>
    <row r="818" customFormat="false" ht="15" hidden="false" customHeight="false" outlineLevel="0" collapsed="false">
      <c r="A818" s="5" t="s">
        <v>100</v>
      </c>
      <c r="B818" s="5" t="s">
        <v>101</v>
      </c>
      <c r="C818" s="5" t="s">
        <v>993</v>
      </c>
      <c r="D818" s="5" t="s">
        <v>992</v>
      </c>
      <c r="E818" s="5" t="s">
        <v>924</v>
      </c>
      <c r="F818" s="5" t="s">
        <v>1056</v>
      </c>
      <c r="G818" s="5" t="s">
        <v>1052</v>
      </c>
    </row>
    <row r="819" customFormat="false" ht="15" hidden="false" customHeight="false" outlineLevel="0" collapsed="false">
      <c r="A819" s="5" t="s">
        <v>100</v>
      </c>
      <c r="B819" s="5" t="s">
        <v>101</v>
      </c>
      <c r="C819" s="5" t="s">
        <v>994</v>
      </c>
      <c r="D819" s="5" t="s">
        <v>992</v>
      </c>
      <c r="E819" s="5" t="s">
        <v>926</v>
      </c>
      <c r="F819" s="5" t="s">
        <v>1056</v>
      </c>
      <c r="G819" s="5" t="s">
        <v>1052</v>
      </c>
    </row>
    <row r="820" customFormat="false" ht="15" hidden="false" customHeight="false" outlineLevel="0" collapsed="false">
      <c r="A820" s="5" t="s">
        <v>100</v>
      </c>
      <c r="B820" s="5" t="s">
        <v>101</v>
      </c>
      <c r="C820" s="5" t="s">
        <v>995</v>
      </c>
      <c r="D820" s="5" t="s">
        <v>992</v>
      </c>
      <c r="E820" s="5" t="s">
        <v>928</v>
      </c>
      <c r="F820" s="5" t="s">
        <v>1056</v>
      </c>
      <c r="G820" s="5" t="s">
        <v>1052</v>
      </c>
    </row>
    <row r="821" customFormat="false" ht="15" hidden="false" customHeight="false" outlineLevel="0" collapsed="false">
      <c r="A821" s="5" t="s">
        <v>100</v>
      </c>
      <c r="B821" s="5" t="s">
        <v>101</v>
      </c>
      <c r="C821" s="5" t="s">
        <v>996</v>
      </c>
      <c r="D821" s="5" t="s">
        <v>992</v>
      </c>
      <c r="E821" s="5" t="s">
        <v>930</v>
      </c>
      <c r="F821" s="5" t="s">
        <v>1056</v>
      </c>
      <c r="G821" s="5" t="s">
        <v>1052</v>
      </c>
    </row>
    <row r="822" customFormat="false" ht="15" hidden="false" customHeight="false" outlineLevel="0" collapsed="false">
      <c r="A822" s="5" t="s">
        <v>100</v>
      </c>
      <c r="B822" s="5" t="s">
        <v>101</v>
      </c>
      <c r="C822" s="5" t="s">
        <v>777</v>
      </c>
      <c r="D822" s="5" t="s">
        <v>997</v>
      </c>
      <c r="E822" s="5" t="s">
        <v>104</v>
      </c>
      <c r="F822" s="5" t="s">
        <v>1056</v>
      </c>
      <c r="G822" s="5" t="s">
        <v>1052</v>
      </c>
    </row>
    <row r="823" customFormat="false" ht="15" hidden="false" customHeight="false" outlineLevel="0" collapsed="false">
      <c r="A823" s="5" t="s">
        <v>100</v>
      </c>
      <c r="B823" s="5" t="s">
        <v>101</v>
      </c>
      <c r="C823" s="5" t="s">
        <v>778</v>
      </c>
      <c r="D823" s="5" t="s">
        <v>997</v>
      </c>
      <c r="E823" s="5" t="s">
        <v>924</v>
      </c>
      <c r="F823" s="5" t="s">
        <v>1056</v>
      </c>
      <c r="G823" s="5" t="s">
        <v>1052</v>
      </c>
    </row>
    <row r="824" customFormat="false" ht="15" hidden="false" customHeight="false" outlineLevel="0" collapsed="false">
      <c r="A824" s="5" t="s">
        <v>100</v>
      </c>
      <c r="B824" s="5" t="s">
        <v>101</v>
      </c>
      <c r="C824" s="5" t="s">
        <v>779</v>
      </c>
      <c r="D824" s="5" t="s">
        <v>997</v>
      </c>
      <c r="E824" s="5" t="s">
        <v>926</v>
      </c>
      <c r="F824" s="5" t="s">
        <v>1056</v>
      </c>
      <c r="G824" s="5" t="s">
        <v>1052</v>
      </c>
    </row>
    <row r="825" customFormat="false" ht="15" hidden="false" customHeight="false" outlineLevel="0" collapsed="false">
      <c r="A825" s="5" t="s">
        <v>100</v>
      </c>
      <c r="B825" s="5" t="s">
        <v>101</v>
      </c>
      <c r="C825" s="5" t="s">
        <v>780</v>
      </c>
      <c r="D825" s="5" t="s">
        <v>997</v>
      </c>
      <c r="E825" s="5" t="s">
        <v>928</v>
      </c>
      <c r="F825" s="5" t="s">
        <v>1056</v>
      </c>
      <c r="G825" s="5" t="s">
        <v>1052</v>
      </c>
    </row>
    <row r="826" customFormat="false" ht="15" hidden="false" customHeight="false" outlineLevel="0" collapsed="false">
      <c r="A826" s="5" t="s">
        <v>100</v>
      </c>
      <c r="B826" s="5" t="s">
        <v>101</v>
      </c>
      <c r="C826" s="5" t="s">
        <v>781</v>
      </c>
      <c r="D826" s="5" t="s">
        <v>997</v>
      </c>
      <c r="E826" s="5" t="s">
        <v>930</v>
      </c>
      <c r="F826" s="5" t="s">
        <v>1056</v>
      </c>
      <c r="G826" s="5" t="s">
        <v>1052</v>
      </c>
    </row>
    <row r="827" customFormat="false" ht="15" hidden="false" customHeight="false" outlineLevel="0" collapsed="false">
      <c r="A827" s="5" t="s">
        <v>100</v>
      </c>
      <c r="B827" s="5" t="s">
        <v>101</v>
      </c>
      <c r="C827" s="5" t="s">
        <v>788</v>
      </c>
      <c r="D827" s="5" t="s">
        <v>998</v>
      </c>
      <c r="E827" s="5" t="s">
        <v>104</v>
      </c>
      <c r="F827" s="5" t="s">
        <v>1056</v>
      </c>
      <c r="G827" s="5" t="s">
        <v>1052</v>
      </c>
    </row>
    <row r="828" customFormat="false" ht="15" hidden="false" customHeight="false" outlineLevel="0" collapsed="false">
      <c r="A828" s="5" t="s">
        <v>100</v>
      </c>
      <c r="B828" s="5" t="s">
        <v>101</v>
      </c>
      <c r="C828" s="5" t="s">
        <v>789</v>
      </c>
      <c r="D828" s="5" t="s">
        <v>998</v>
      </c>
      <c r="E828" s="5" t="s">
        <v>924</v>
      </c>
      <c r="F828" s="5" t="s">
        <v>1056</v>
      </c>
      <c r="G828" s="5" t="s">
        <v>1052</v>
      </c>
    </row>
    <row r="829" customFormat="false" ht="15" hidden="false" customHeight="false" outlineLevel="0" collapsed="false">
      <c r="A829" s="5" t="s">
        <v>100</v>
      </c>
      <c r="B829" s="5" t="s">
        <v>101</v>
      </c>
      <c r="C829" s="5" t="s">
        <v>790</v>
      </c>
      <c r="D829" s="5" t="s">
        <v>998</v>
      </c>
      <c r="E829" s="5" t="s">
        <v>926</v>
      </c>
      <c r="F829" s="5" t="s">
        <v>1056</v>
      </c>
      <c r="G829" s="5" t="s">
        <v>1052</v>
      </c>
    </row>
    <row r="830" customFormat="false" ht="15" hidden="false" customHeight="false" outlineLevel="0" collapsed="false">
      <c r="A830" s="5" t="s">
        <v>100</v>
      </c>
      <c r="B830" s="5" t="s">
        <v>101</v>
      </c>
      <c r="C830" s="5" t="s">
        <v>791</v>
      </c>
      <c r="D830" s="5" t="s">
        <v>998</v>
      </c>
      <c r="E830" s="5" t="s">
        <v>928</v>
      </c>
      <c r="F830" s="5" t="s">
        <v>1056</v>
      </c>
      <c r="G830" s="5" t="s">
        <v>1052</v>
      </c>
    </row>
    <row r="831" customFormat="false" ht="15" hidden="false" customHeight="false" outlineLevel="0" collapsed="false">
      <c r="A831" s="5" t="s">
        <v>100</v>
      </c>
      <c r="B831" s="5" t="s">
        <v>101</v>
      </c>
      <c r="C831" s="5" t="s">
        <v>792</v>
      </c>
      <c r="D831" s="5" t="s">
        <v>998</v>
      </c>
      <c r="E831" s="5" t="s">
        <v>930</v>
      </c>
      <c r="F831" s="5" t="s">
        <v>1056</v>
      </c>
      <c r="G831" s="5" t="s">
        <v>1052</v>
      </c>
    </row>
    <row r="832" customFormat="false" ht="15" hidden="false" customHeight="false" outlineLevel="0" collapsed="false">
      <c r="A832" s="5" t="s">
        <v>100</v>
      </c>
      <c r="B832" s="5" t="s">
        <v>101</v>
      </c>
      <c r="C832" s="5" t="s">
        <v>799</v>
      </c>
      <c r="D832" s="5" t="s">
        <v>999</v>
      </c>
      <c r="E832" s="5" t="s">
        <v>104</v>
      </c>
      <c r="F832" s="5" t="s">
        <v>1056</v>
      </c>
      <c r="G832" s="5" t="s">
        <v>1052</v>
      </c>
    </row>
    <row r="833" customFormat="false" ht="15" hidden="false" customHeight="false" outlineLevel="0" collapsed="false">
      <c r="A833" s="5" t="s">
        <v>100</v>
      </c>
      <c r="B833" s="5" t="s">
        <v>101</v>
      </c>
      <c r="C833" s="5" t="s">
        <v>800</v>
      </c>
      <c r="D833" s="5" t="s">
        <v>999</v>
      </c>
      <c r="E833" s="5" t="s">
        <v>924</v>
      </c>
      <c r="F833" s="5" t="s">
        <v>1056</v>
      </c>
      <c r="G833" s="5" t="s">
        <v>1052</v>
      </c>
    </row>
    <row r="834" customFormat="false" ht="15" hidden="false" customHeight="false" outlineLevel="0" collapsed="false">
      <c r="A834" s="5" t="s">
        <v>100</v>
      </c>
      <c r="B834" s="5" t="s">
        <v>101</v>
      </c>
      <c r="C834" s="5" t="s">
        <v>801</v>
      </c>
      <c r="D834" s="5" t="s">
        <v>999</v>
      </c>
      <c r="E834" s="5" t="s">
        <v>926</v>
      </c>
      <c r="F834" s="5" t="s">
        <v>1056</v>
      </c>
      <c r="G834" s="5" t="s">
        <v>1052</v>
      </c>
    </row>
    <row r="835" customFormat="false" ht="15" hidden="false" customHeight="false" outlineLevel="0" collapsed="false">
      <c r="A835" s="5" t="s">
        <v>100</v>
      </c>
      <c r="B835" s="5" t="s">
        <v>101</v>
      </c>
      <c r="C835" s="5" t="s">
        <v>802</v>
      </c>
      <c r="D835" s="5" t="s">
        <v>999</v>
      </c>
      <c r="E835" s="5" t="s">
        <v>928</v>
      </c>
      <c r="F835" s="5" t="s">
        <v>1056</v>
      </c>
      <c r="G835" s="5" t="s">
        <v>1052</v>
      </c>
    </row>
    <row r="836" customFormat="false" ht="15" hidden="false" customHeight="false" outlineLevel="0" collapsed="false">
      <c r="A836" s="5" t="s">
        <v>100</v>
      </c>
      <c r="B836" s="5" t="s">
        <v>101</v>
      </c>
      <c r="C836" s="5" t="s">
        <v>803</v>
      </c>
      <c r="D836" s="5" t="s">
        <v>999</v>
      </c>
      <c r="E836" s="5" t="s">
        <v>930</v>
      </c>
      <c r="F836" s="5" t="s">
        <v>1056</v>
      </c>
      <c r="G836" s="5" t="s">
        <v>1052</v>
      </c>
    </row>
    <row r="837" customFormat="false" ht="15" hidden="false" customHeight="false" outlineLevel="0" collapsed="false">
      <c r="A837" s="5" t="s">
        <v>100</v>
      </c>
      <c r="B837" s="5" t="s">
        <v>101</v>
      </c>
      <c r="C837" s="5" t="s">
        <v>810</v>
      </c>
      <c r="D837" s="5" t="s">
        <v>1000</v>
      </c>
      <c r="E837" s="5" t="s">
        <v>104</v>
      </c>
      <c r="F837" s="5" t="s">
        <v>1056</v>
      </c>
      <c r="G837" s="5" t="s">
        <v>1052</v>
      </c>
    </row>
    <row r="838" customFormat="false" ht="15" hidden="false" customHeight="false" outlineLevel="0" collapsed="false">
      <c r="A838" s="5" t="s">
        <v>100</v>
      </c>
      <c r="B838" s="5" t="s">
        <v>101</v>
      </c>
      <c r="C838" s="5" t="s">
        <v>811</v>
      </c>
      <c r="D838" s="5" t="s">
        <v>1000</v>
      </c>
      <c r="E838" s="5" t="s">
        <v>924</v>
      </c>
      <c r="F838" s="5" t="s">
        <v>1056</v>
      </c>
      <c r="G838" s="5" t="s">
        <v>1052</v>
      </c>
    </row>
    <row r="839" customFormat="false" ht="15" hidden="false" customHeight="false" outlineLevel="0" collapsed="false">
      <c r="A839" s="5" t="s">
        <v>100</v>
      </c>
      <c r="B839" s="5" t="s">
        <v>101</v>
      </c>
      <c r="C839" s="5" t="s">
        <v>812</v>
      </c>
      <c r="D839" s="5" t="s">
        <v>1000</v>
      </c>
      <c r="E839" s="5" t="s">
        <v>926</v>
      </c>
      <c r="F839" s="5" t="s">
        <v>1056</v>
      </c>
      <c r="G839" s="5" t="s">
        <v>1052</v>
      </c>
    </row>
    <row r="840" customFormat="false" ht="15" hidden="false" customHeight="false" outlineLevel="0" collapsed="false">
      <c r="A840" s="5" t="s">
        <v>100</v>
      </c>
      <c r="B840" s="5" t="s">
        <v>101</v>
      </c>
      <c r="C840" s="5" t="s">
        <v>813</v>
      </c>
      <c r="D840" s="5" t="s">
        <v>1000</v>
      </c>
      <c r="E840" s="5" t="s">
        <v>928</v>
      </c>
      <c r="F840" s="5" t="s">
        <v>1056</v>
      </c>
      <c r="G840" s="5" t="s">
        <v>1052</v>
      </c>
    </row>
    <row r="841" customFormat="false" ht="15" hidden="false" customHeight="false" outlineLevel="0" collapsed="false">
      <c r="A841" s="5" t="s">
        <v>100</v>
      </c>
      <c r="B841" s="5" t="s">
        <v>101</v>
      </c>
      <c r="C841" s="5" t="s">
        <v>814</v>
      </c>
      <c r="D841" s="5" t="s">
        <v>1000</v>
      </c>
      <c r="E841" s="5" t="s">
        <v>930</v>
      </c>
      <c r="F841" s="5" t="s">
        <v>1056</v>
      </c>
      <c r="G841" s="5" t="s">
        <v>1052</v>
      </c>
    </row>
    <row r="842" customFormat="false" ht="15" hidden="false" customHeight="false" outlineLevel="0" collapsed="false">
      <c r="A842" s="5" t="s">
        <v>100</v>
      </c>
      <c r="B842" s="5" t="s">
        <v>101</v>
      </c>
      <c r="C842" s="5" t="s">
        <v>821</v>
      </c>
      <c r="D842" s="5" t="s">
        <v>1001</v>
      </c>
      <c r="E842" s="5" t="s">
        <v>104</v>
      </c>
      <c r="F842" s="5" t="s">
        <v>1056</v>
      </c>
      <c r="G842" s="5" t="s">
        <v>1052</v>
      </c>
    </row>
    <row r="843" customFormat="false" ht="15" hidden="false" customHeight="false" outlineLevel="0" collapsed="false">
      <c r="A843" s="5" t="s">
        <v>100</v>
      </c>
      <c r="B843" s="5" t="s">
        <v>101</v>
      </c>
      <c r="C843" s="5" t="s">
        <v>822</v>
      </c>
      <c r="D843" s="5" t="s">
        <v>1001</v>
      </c>
      <c r="E843" s="5" t="s">
        <v>924</v>
      </c>
      <c r="F843" s="5" t="s">
        <v>1056</v>
      </c>
      <c r="G843" s="5" t="s">
        <v>1052</v>
      </c>
    </row>
    <row r="844" customFormat="false" ht="15" hidden="false" customHeight="false" outlineLevel="0" collapsed="false">
      <c r="A844" s="5" t="s">
        <v>100</v>
      </c>
      <c r="B844" s="5" t="s">
        <v>101</v>
      </c>
      <c r="C844" s="5" t="s">
        <v>823</v>
      </c>
      <c r="D844" s="5" t="s">
        <v>1001</v>
      </c>
      <c r="E844" s="5" t="s">
        <v>926</v>
      </c>
      <c r="F844" s="5" t="s">
        <v>1056</v>
      </c>
      <c r="G844" s="5" t="s">
        <v>1052</v>
      </c>
    </row>
    <row r="845" customFormat="false" ht="15" hidden="false" customHeight="false" outlineLevel="0" collapsed="false">
      <c r="A845" s="5" t="s">
        <v>100</v>
      </c>
      <c r="B845" s="5" t="s">
        <v>101</v>
      </c>
      <c r="C845" s="5" t="s">
        <v>824</v>
      </c>
      <c r="D845" s="5" t="s">
        <v>1001</v>
      </c>
      <c r="E845" s="5" t="s">
        <v>928</v>
      </c>
      <c r="F845" s="5" t="s">
        <v>1056</v>
      </c>
      <c r="G845" s="5" t="s">
        <v>1052</v>
      </c>
    </row>
    <row r="846" customFormat="false" ht="15" hidden="false" customHeight="false" outlineLevel="0" collapsed="false">
      <c r="A846" s="5" t="s">
        <v>100</v>
      </c>
      <c r="B846" s="5" t="s">
        <v>101</v>
      </c>
      <c r="C846" s="5" t="s">
        <v>825</v>
      </c>
      <c r="D846" s="5" t="s">
        <v>1001</v>
      </c>
      <c r="E846" s="5" t="s">
        <v>930</v>
      </c>
      <c r="F846" s="5" t="s">
        <v>1056</v>
      </c>
      <c r="G846" s="5" t="s">
        <v>1052</v>
      </c>
    </row>
    <row r="847" customFormat="false" ht="15" hidden="false" customHeight="false" outlineLevel="0" collapsed="false">
      <c r="A847" s="5" t="s">
        <v>100</v>
      </c>
      <c r="B847" s="5" t="s">
        <v>101</v>
      </c>
      <c r="C847" s="5" t="s">
        <v>832</v>
      </c>
      <c r="D847" s="5" t="s">
        <v>1002</v>
      </c>
      <c r="E847" s="5" t="s">
        <v>104</v>
      </c>
      <c r="F847" s="5" t="s">
        <v>1056</v>
      </c>
      <c r="G847" s="5" t="s">
        <v>1052</v>
      </c>
    </row>
    <row r="848" customFormat="false" ht="15" hidden="false" customHeight="false" outlineLevel="0" collapsed="false">
      <c r="A848" s="5" t="s">
        <v>100</v>
      </c>
      <c r="B848" s="5" t="s">
        <v>101</v>
      </c>
      <c r="C848" s="5" t="s">
        <v>833</v>
      </c>
      <c r="D848" s="5" t="s">
        <v>1002</v>
      </c>
      <c r="E848" s="5" t="s">
        <v>924</v>
      </c>
      <c r="F848" s="5" t="s">
        <v>1056</v>
      </c>
      <c r="G848" s="5" t="s">
        <v>1052</v>
      </c>
    </row>
    <row r="849" customFormat="false" ht="15" hidden="false" customHeight="false" outlineLevel="0" collapsed="false">
      <c r="A849" s="5" t="s">
        <v>100</v>
      </c>
      <c r="B849" s="5" t="s">
        <v>101</v>
      </c>
      <c r="C849" s="5" t="s">
        <v>834</v>
      </c>
      <c r="D849" s="5" t="s">
        <v>1002</v>
      </c>
      <c r="E849" s="5" t="s">
        <v>926</v>
      </c>
      <c r="F849" s="5" t="s">
        <v>1056</v>
      </c>
      <c r="G849" s="5" t="s">
        <v>1052</v>
      </c>
    </row>
    <row r="850" customFormat="false" ht="15" hidden="false" customHeight="false" outlineLevel="0" collapsed="false">
      <c r="A850" s="5" t="s">
        <v>100</v>
      </c>
      <c r="B850" s="5" t="s">
        <v>101</v>
      </c>
      <c r="C850" s="5" t="s">
        <v>835</v>
      </c>
      <c r="D850" s="5" t="s">
        <v>1002</v>
      </c>
      <c r="E850" s="5" t="s">
        <v>928</v>
      </c>
      <c r="F850" s="5" t="s">
        <v>1056</v>
      </c>
      <c r="G850" s="5" t="s">
        <v>1052</v>
      </c>
    </row>
    <row r="851" customFormat="false" ht="15" hidden="false" customHeight="false" outlineLevel="0" collapsed="false">
      <c r="A851" s="5" t="s">
        <v>100</v>
      </c>
      <c r="B851" s="5" t="s">
        <v>101</v>
      </c>
      <c r="C851" s="5" t="s">
        <v>836</v>
      </c>
      <c r="D851" s="5" t="s">
        <v>1002</v>
      </c>
      <c r="E851" s="5" t="s">
        <v>930</v>
      </c>
      <c r="F851" s="5" t="s">
        <v>1056</v>
      </c>
      <c r="G851" s="5" t="s">
        <v>1052</v>
      </c>
    </row>
    <row r="852" customFormat="false" ht="15" hidden="false" customHeight="false" outlineLevel="0" collapsed="false">
      <c r="A852" s="5" t="s">
        <v>100</v>
      </c>
      <c r="B852" s="5" t="s">
        <v>101</v>
      </c>
      <c r="C852" s="5" t="s">
        <v>102</v>
      </c>
      <c r="D852" s="5" t="s">
        <v>103</v>
      </c>
      <c r="E852" s="5" t="s">
        <v>104</v>
      </c>
      <c r="F852" s="5" t="s">
        <v>1056</v>
      </c>
      <c r="G852" s="5" t="s">
        <v>1052</v>
      </c>
    </row>
    <row r="853" customFormat="false" ht="15" hidden="false" customHeight="false" outlineLevel="0" collapsed="false">
      <c r="A853" s="5" t="s">
        <v>100</v>
      </c>
      <c r="B853" s="5" t="s">
        <v>101</v>
      </c>
      <c r="C853" s="5" t="s">
        <v>843</v>
      </c>
      <c r="D853" s="5" t="s">
        <v>103</v>
      </c>
      <c r="E853" s="5" t="s">
        <v>924</v>
      </c>
      <c r="F853" s="5" t="s">
        <v>1056</v>
      </c>
      <c r="G853" s="5" t="s">
        <v>1052</v>
      </c>
    </row>
    <row r="854" customFormat="false" ht="15" hidden="false" customHeight="false" outlineLevel="0" collapsed="false">
      <c r="A854" s="5" t="s">
        <v>100</v>
      </c>
      <c r="B854" s="5" t="s">
        <v>101</v>
      </c>
      <c r="C854" s="5" t="s">
        <v>844</v>
      </c>
      <c r="D854" s="5" t="s">
        <v>103</v>
      </c>
      <c r="E854" s="5" t="s">
        <v>926</v>
      </c>
      <c r="F854" s="5" t="s">
        <v>1056</v>
      </c>
      <c r="G854" s="5" t="s">
        <v>1052</v>
      </c>
    </row>
    <row r="855" customFormat="false" ht="15" hidden="false" customHeight="false" outlineLevel="0" collapsed="false">
      <c r="A855" s="5" t="s">
        <v>100</v>
      </c>
      <c r="B855" s="5" t="s">
        <v>101</v>
      </c>
      <c r="C855" s="5" t="s">
        <v>845</v>
      </c>
      <c r="D855" s="5" t="s">
        <v>103</v>
      </c>
      <c r="E855" s="5" t="s">
        <v>928</v>
      </c>
      <c r="F855" s="5" t="s">
        <v>1056</v>
      </c>
      <c r="G855" s="5" t="s">
        <v>1052</v>
      </c>
    </row>
    <row r="856" customFormat="false" ht="15" hidden="false" customHeight="false" outlineLevel="0" collapsed="false">
      <c r="A856" s="5" t="s">
        <v>100</v>
      </c>
      <c r="B856" s="5" t="s">
        <v>101</v>
      </c>
      <c r="C856" s="5" t="s">
        <v>846</v>
      </c>
      <c r="D856" s="5" t="s">
        <v>103</v>
      </c>
      <c r="E856" s="5" t="s">
        <v>930</v>
      </c>
      <c r="F856" s="5" t="s">
        <v>1056</v>
      </c>
      <c r="G856" s="5" t="s">
        <v>1052</v>
      </c>
    </row>
    <row r="857" customFormat="false" ht="15" hidden="false" customHeight="false" outlineLevel="0" collapsed="false">
      <c r="A857" s="5" t="s">
        <v>100</v>
      </c>
      <c r="B857" s="5" t="s">
        <v>101</v>
      </c>
      <c r="C857" s="5" t="s">
        <v>853</v>
      </c>
      <c r="D857" s="5" t="s">
        <v>1003</v>
      </c>
      <c r="E857" s="5" t="s">
        <v>104</v>
      </c>
      <c r="F857" s="5" t="s">
        <v>1056</v>
      </c>
      <c r="G857" s="5" t="s">
        <v>1052</v>
      </c>
    </row>
    <row r="858" customFormat="false" ht="15" hidden="false" customHeight="false" outlineLevel="0" collapsed="false">
      <c r="A858" s="5" t="s">
        <v>100</v>
      </c>
      <c r="B858" s="5" t="s">
        <v>101</v>
      </c>
      <c r="C858" s="5" t="s">
        <v>854</v>
      </c>
      <c r="D858" s="5" t="s">
        <v>1003</v>
      </c>
      <c r="E858" s="5" t="s">
        <v>924</v>
      </c>
      <c r="F858" s="5" t="s">
        <v>1056</v>
      </c>
      <c r="G858" s="5" t="s">
        <v>1052</v>
      </c>
    </row>
    <row r="859" customFormat="false" ht="15" hidden="false" customHeight="false" outlineLevel="0" collapsed="false">
      <c r="A859" s="5" t="s">
        <v>100</v>
      </c>
      <c r="B859" s="5" t="s">
        <v>101</v>
      </c>
      <c r="C859" s="5" t="s">
        <v>855</v>
      </c>
      <c r="D859" s="5" t="s">
        <v>1003</v>
      </c>
      <c r="E859" s="5" t="s">
        <v>926</v>
      </c>
      <c r="F859" s="5" t="s">
        <v>1056</v>
      </c>
      <c r="G859" s="5" t="s">
        <v>1052</v>
      </c>
    </row>
    <row r="860" customFormat="false" ht="15" hidden="false" customHeight="false" outlineLevel="0" collapsed="false">
      <c r="A860" s="5" t="s">
        <v>100</v>
      </c>
      <c r="B860" s="5" t="s">
        <v>101</v>
      </c>
      <c r="C860" s="5" t="s">
        <v>856</v>
      </c>
      <c r="D860" s="5" t="s">
        <v>1003</v>
      </c>
      <c r="E860" s="5" t="s">
        <v>928</v>
      </c>
      <c r="F860" s="5" t="s">
        <v>1056</v>
      </c>
      <c r="G860" s="5" t="s">
        <v>1052</v>
      </c>
    </row>
    <row r="861" customFormat="false" ht="15" hidden="false" customHeight="false" outlineLevel="0" collapsed="false">
      <c r="A861" s="5" t="s">
        <v>100</v>
      </c>
      <c r="B861" s="5" t="s">
        <v>101</v>
      </c>
      <c r="C861" s="5" t="s">
        <v>857</v>
      </c>
      <c r="D861" s="5" t="s">
        <v>1003</v>
      </c>
      <c r="E861" s="5" t="s">
        <v>930</v>
      </c>
      <c r="F861" s="5" t="s">
        <v>1056</v>
      </c>
      <c r="G861" s="5" t="s">
        <v>1052</v>
      </c>
    </row>
    <row r="862" customFormat="false" ht="15" hidden="false" customHeight="false" outlineLevel="0" collapsed="false">
      <c r="A862" s="5" t="s">
        <v>100</v>
      </c>
      <c r="B862" s="5" t="s">
        <v>101</v>
      </c>
      <c r="C862" s="5" t="s">
        <v>864</v>
      </c>
      <c r="D862" s="5" t="s">
        <v>1004</v>
      </c>
      <c r="E862" s="5" t="s">
        <v>104</v>
      </c>
      <c r="F862" s="5" t="s">
        <v>1056</v>
      </c>
      <c r="G862" s="5" t="s">
        <v>1052</v>
      </c>
    </row>
    <row r="863" customFormat="false" ht="15" hidden="false" customHeight="false" outlineLevel="0" collapsed="false">
      <c r="A863" s="5" t="s">
        <v>100</v>
      </c>
      <c r="B863" s="5" t="s">
        <v>101</v>
      </c>
      <c r="C863" s="5" t="s">
        <v>865</v>
      </c>
      <c r="D863" s="5" t="s">
        <v>1004</v>
      </c>
      <c r="E863" s="5" t="s">
        <v>924</v>
      </c>
      <c r="F863" s="5" t="s">
        <v>1056</v>
      </c>
      <c r="G863" s="5" t="s">
        <v>1052</v>
      </c>
    </row>
    <row r="864" customFormat="false" ht="15" hidden="false" customHeight="false" outlineLevel="0" collapsed="false">
      <c r="A864" s="5" t="s">
        <v>100</v>
      </c>
      <c r="B864" s="5" t="s">
        <v>101</v>
      </c>
      <c r="C864" s="5" t="s">
        <v>866</v>
      </c>
      <c r="D864" s="5" t="s">
        <v>1004</v>
      </c>
      <c r="E864" s="5" t="s">
        <v>926</v>
      </c>
      <c r="F864" s="5" t="s">
        <v>1056</v>
      </c>
      <c r="G864" s="5" t="s">
        <v>1052</v>
      </c>
    </row>
    <row r="865" customFormat="false" ht="15" hidden="false" customHeight="false" outlineLevel="0" collapsed="false">
      <c r="A865" s="5" t="s">
        <v>100</v>
      </c>
      <c r="B865" s="5" t="s">
        <v>101</v>
      </c>
      <c r="C865" s="5" t="s">
        <v>867</v>
      </c>
      <c r="D865" s="5" t="s">
        <v>1004</v>
      </c>
      <c r="E865" s="5" t="s">
        <v>928</v>
      </c>
      <c r="F865" s="5" t="s">
        <v>1056</v>
      </c>
      <c r="G865" s="5" t="s">
        <v>1052</v>
      </c>
    </row>
    <row r="866" customFormat="false" ht="15" hidden="false" customHeight="false" outlineLevel="0" collapsed="false">
      <c r="A866" s="5" t="s">
        <v>100</v>
      </c>
      <c r="B866" s="5" t="s">
        <v>101</v>
      </c>
      <c r="C866" s="5" t="s">
        <v>868</v>
      </c>
      <c r="D866" s="5" t="s">
        <v>1004</v>
      </c>
      <c r="E866" s="5" t="s">
        <v>930</v>
      </c>
      <c r="F866" s="5" t="s">
        <v>1056</v>
      </c>
      <c r="G866" s="5" t="s">
        <v>1052</v>
      </c>
    </row>
    <row r="867" customFormat="false" ht="15" hidden="false" customHeight="false" outlineLevel="0" collapsed="false">
      <c r="A867" s="5" t="s">
        <v>100</v>
      </c>
      <c r="B867" s="5" t="s">
        <v>101</v>
      </c>
      <c r="C867" s="5" t="s">
        <v>875</v>
      </c>
      <c r="D867" s="5" t="s">
        <v>1005</v>
      </c>
      <c r="E867" s="5" t="s">
        <v>104</v>
      </c>
      <c r="F867" s="5" t="s">
        <v>1056</v>
      </c>
      <c r="G867" s="5" t="s">
        <v>1052</v>
      </c>
    </row>
    <row r="868" customFormat="false" ht="15" hidden="false" customHeight="false" outlineLevel="0" collapsed="false">
      <c r="A868" s="5" t="s">
        <v>100</v>
      </c>
      <c r="B868" s="5" t="s">
        <v>101</v>
      </c>
      <c r="C868" s="5" t="s">
        <v>876</v>
      </c>
      <c r="D868" s="5" t="s">
        <v>1005</v>
      </c>
      <c r="E868" s="5" t="s">
        <v>924</v>
      </c>
      <c r="F868" s="5" t="s">
        <v>1056</v>
      </c>
      <c r="G868" s="5" t="s">
        <v>1052</v>
      </c>
    </row>
    <row r="869" customFormat="false" ht="15" hidden="false" customHeight="false" outlineLevel="0" collapsed="false">
      <c r="A869" s="5" t="s">
        <v>100</v>
      </c>
      <c r="B869" s="5" t="s">
        <v>101</v>
      </c>
      <c r="C869" s="5" t="s">
        <v>877</v>
      </c>
      <c r="D869" s="5" t="s">
        <v>1005</v>
      </c>
      <c r="E869" s="5" t="s">
        <v>926</v>
      </c>
      <c r="F869" s="5" t="s">
        <v>1056</v>
      </c>
      <c r="G869" s="5" t="s">
        <v>1052</v>
      </c>
    </row>
    <row r="870" customFormat="false" ht="15" hidden="false" customHeight="false" outlineLevel="0" collapsed="false">
      <c r="A870" s="5" t="s">
        <v>100</v>
      </c>
      <c r="B870" s="5" t="s">
        <v>101</v>
      </c>
      <c r="C870" s="5" t="s">
        <v>878</v>
      </c>
      <c r="D870" s="5" t="s">
        <v>1005</v>
      </c>
      <c r="E870" s="5" t="s">
        <v>928</v>
      </c>
      <c r="F870" s="5" t="s">
        <v>1056</v>
      </c>
      <c r="G870" s="5" t="s">
        <v>1052</v>
      </c>
    </row>
    <row r="871" customFormat="false" ht="15" hidden="false" customHeight="false" outlineLevel="0" collapsed="false">
      <c r="A871" s="5" t="s">
        <v>100</v>
      </c>
      <c r="B871" s="5" t="s">
        <v>101</v>
      </c>
      <c r="C871" s="5" t="s">
        <v>879</v>
      </c>
      <c r="D871" s="5" t="s">
        <v>1005</v>
      </c>
      <c r="E871" s="5" t="s">
        <v>930</v>
      </c>
      <c r="F871" s="5" t="s">
        <v>1056</v>
      </c>
      <c r="G871" s="5" t="s">
        <v>1052</v>
      </c>
    </row>
    <row r="872" customFormat="false" ht="15" hidden="false" customHeight="false" outlineLevel="0" collapsed="false">
      <c r="A872" s="5" t="s">
        <v>100</v>
      </c>
      <c r="B872" s="5" t="s">
        <v>101</v>
      </c>
      <c r="C872" s="5" t="s">
        <v>886</v>
      </c>
      <c r="D872" s="5" t="s">
        <v>1006</v>
      </c>
      <c r="E872" s="5" t="s">
        <v>104</v>
      </c>
      <c r="F872" s="5" t="s">
        <v>1056</v>
      </c>
      <c r="G872" s="5" t="s">
        <v>1052</v>
      </c>
    </row>
    <row r="873" customFormat="false" ht="15" hidden="false" customHeight="false" outlineLevel="0" collapsed="false">
      <c r="A873" s="5" t="s">
        <v>100</v>
      </c>
      <c r="B873" s="5" t="s">
        <v>101</v>
      </c>
      <c r="C873" s="5" t="s">
        <v>887</v>
      </c>
      <c r="D873" s="5" t="s">
        <v>1006</v>
      </c>
      <c r="E873" s="5" t="s">
        <v>924</v>
      </c>
      <c r="F873" s="5" t="s">
        <v>1056</v>
      </c>
      <c r="G873" s="5" t="s">
        <v>1052</v>
      </c>
    </row>
    <row r="874" customFormat="false" ht="15" hidden="false" customHeight="false" outlineLevel="0" collapsed="false">
      <c r="A874" s="5" t="s">
        <v>100</v>
      </c>
      <c r="B874" s="5" t="s">
        <v>101</v>
      </c>
      <c r="C874" s="5" t="s">
        <v>888</v>
      </c>
      <c r="D874" s="5" t="s">
        <v>1006</v>
      </c>
      <c r="E874" s="5" t="s">
        <v>926</v>
      </c>
      <c r="F874" s="5" t="s">
        <v>1056</v>
      </c>
      <c r="G874" s="5" t="s">
        <v>1052</v>
      </c>
    </row>
    <row r="875" customFormat="false" ht="15" hidden="false" customHeight="false" outlineLevel="0" collapsed="false">
      <c r="A875" s="5" t="s">
        <v>100</v>
      </c>
      <c r="B875" s="5" t="s">
        <v>101</v>
      </c>
      <c r="C875" s="5" t="s">
        <v>889</v>
      </c>
      <c r="D875" s="5" t="s">
        <v>1006</v>
      </c>
      <c r="E875" s="5" t="s">
        <v>928</v>
      </c>
      <c r="F875" s="5" t="s">
        <v>1056</v>
      </c>
      <c r="G875" s="5" t="s">
        <v>1052</v>
      </c>
    </row>
    <row r="876" customFormat="false" ht="15" hidden="false" customHeight="false" outlineLevel="0" collapsed="false">
      <c r="A876" s="5" t="s">
        <v>100</v>
      </c>
      <c r="B876" s="5" t="s">
        <v>101</v>
      </c>
      <c r="C876" s="5" t="s">
        <v>890</v>
      </c>
      <c r="D876" s="5" t="s">
        <v>1006</v>
      </c>
      <c r="E876" s="5" t="s">
        <v>930</v>
      </c>
      <c r="F876" s="5" t="s">
        <v>1056</v>
      </c>
      <c r="G876" s="5" t="s">
        <v>1052</v>
      </c>
    </row>
    <row r="877" customFormat="false" ht="15" hidden="false" customHeight="false" outlineLevel="0" collapsed="false">
      <c r="A877" s="5" t="s">
        <v>100</v>
      </c>
      <c r="B877" s="5" t="s">
        <v>101</v>
      </c>
      <c r="C877" s="5" t="s">
        <v>897</v>
      </c>
      <c r="D877" s="5" t="s">
        <v>1007</v>
      </c>
      <c r="E877" s="5" t="s">
        <v>104</v>
      </c>
      <c r="F877" s="5" t="s">
        <v>1056</v>
      </c>
      <c r="G877" s="5" t="s">
        <v>1052</v>
      </c>
    </row>
    <row r="878" customFormat="false" ht="15" hidden="false" customHeight="false" outlineLevel="0" collapsed="false">
      <c r="A878" s="5" t="s">
        <v>100</v>
      </c>
      <c r="B878" s="5" t="s">
        <v>101</v>
      </c>
      <c r="C878" s="5" t="s">
        <v>898</v>
      </c>
      <c r="D878" s="5" t="s">
        <v>1007</v>
      </c>
      <c r="E878" s="5" t="s">
        <v>924</v>
      </c>
      <c r="F878" s="5" t="s">
        <v>1056</v>
      </c>
      <c r="G878" s="5" t="s">
        <v>1052</v>
      </c>
    </row>
    <row r="879" customFormat="false" ht="15" hidden="false" customHeight="false" outlineLevel="0" collapsed="false">
      <c r="A879" s="5" t="s">
        <v>100</v>
      </c>
      <c r="B879" s="5" t="s">
        <v>101</v>
      </c>
      <c r="C879" s="5" t="s">
        <v>899</v>
      </c>
      <c r="D879" s="5" t="s">
        <v>1007</v>
      </c>
      <c r="E879" s="5" t="s">
        <v>926</v>
      </c>
      <c r="F879" s="5" t="s">
        <v>1056</v>
      </c>
      <c r="G879" s="5" t="s">
        <v>1052</v>
      </c>
    </row>
    <row r="880" customFormat="false" ht="15" hidden="false" customHeight="false" outlineLevel="0" collapsed="false">
      <c r="A880" s="5" t="s">
        <v>100</v>
      </c>
      <c r="B880" s="5" t="s">
        <v>101</v>
      </c>
      <c r="C880" s="5" t="s">
        <v>900</v>
      </c>
      <c r="D880" s="5" t="s">
        <v>1007</v>
      </c>
      <c r="E880" s="5" t="s">
        <v>928</v>
      </c>
      <c r="F880" s="5" t="s">
        <v>1056</v>
      </c>
      <c r="G880" s="5" t="s">
        <v>1052</v>
      </c>
    </row>
    <row r="881" customFormat="false" ht="15" hidden="false" customHeight="false" outlineLevel="0" collapsed="false">
      <c r="A881" s="5" t="s">
        <v>100</v>
      </c>
      <c r="B881" s="5" t="s">
        <v>101</v>
      </c>
      <c r="C881" s="5" t="s">
        <v>901</v>
      </c>
      <c r="D881" s="5" t="s">
        <v>1007</v>
      </c>
      <c r="E881" s="5" t="s">
        <v>930</v>
      </c>
      <c r="F881" s="5" t="s">
        <v>1056</v>
      </c>
      <c r="G881" s="5" t="s">
        <v>1052</v>
      </c>
    </row>
    <row r="882" customFormat="false" ht="15" hidden="false" customHeight="false" outlineLevel="0" collapsed="false">
      <c r="A882" s="5" t="s">
        <v>100</v>
      </c>
      <c r="B882" s="5" t="s">
        <v>101</v>
      </c>
      <c r="C882" s="5" t="s">
        <v>132</v>
      </c>
      <c r="D882" s="5" t="s">
        <v>1008</v>
      </c>
      <c r="E882" s="5" t="s">
        <v>104</v>
      </c>
      <c r="F882" s="5" t="s">
        <v>1056</v>
      </c>
      <c r="G882" s="5" t="s">
        <v>1052</v>
      </c>
    </row>
    <row r="883" customFormat="false" ht="15" hidden="false" customHeight="false" outlineLevel="0" collapsed="false">
      <c r="A883" s="5" t="s">
        <v>100</v>
      </c>
      <c r="B883" s="5" t="s">
        <v>101</v>
      </c>
      <c r="C883" s="5" t="s">
        <v>905</v>
      </c>
      <c r="D883" s="5" t="s">
        <v>1008</v>
      </c>
      <c r="E883" s="5" t="s">
        <v>924</v>
      </c>
      <c r="F883" s="5" t="s">
        <v>1056</v>
      </c>
      <c r="G883" s="5" t="s">
        <v>1052</v>
      </c>
    </row>
    <row r="884" customFormat="false" ht="15" hidden="false" customHeight="false" outlineLevel="0" collapsed="false">
      <c r="A884" s="5" t="s">
        <v>100</v>
      </c>
      <c r="B884" s="5" t="s">
        <v>101</v>
      </c>
      <c r="C884" s="5" t="s">
        <v>906</v>
      </c>
      <c r="D884" s="5" t="s">
        <v>1008</v>
      </c>
      <c r="E884" s="5" t="s">
        <v>926</v>
      </c>
      <c r="F884" s="5" t="s">
        <v>1056</v>
      </c>
      <c r="G884" s="5" t="s">
        <v>1052</v>
      </c>
    </row>
    <row r="885" customFormat="false" ht="15" hidden="false" customHeight="false" outlineLevel="0" collapsed="false">
      <c r="A885" s="5" t="s">
        <v>100</v>
      </c>
      <c r="B885" s="5" t="s">
        <v>101</v>
      </c>
      <c r="C885" s="5" t="s">
        <v>907</v>
      </c>
      <c r="D885" s="5" t="s">
        <v>1008</v>
      </c>
      <c r="E885" s="5" t="s">
        <v>928</v>
      </c>
      <c r="F885" s="5" t="s">
        <v>1056</v>
      </c>
      <c r="G885" s="5" t="s">
        <v>1052</v>
      </c>
    </row>
    <row r="886" customFormat="false" ht="15" hidden="false" customHeight="false" outlineLevel="0" collapsed="false">
      <c r="A886" s="5" t="s">
        <v>100</v>
      </c>
      <c r="B886" s="5" t="s">
        <v>101</v>
      </c>
      <c r="C886" s="5" t="s">
        <v>908</v>
      </c>
      <c r="D886" s="5" t="s">
        <v>1008</v>
      </c>
      <c r="E886" s="5" t="s">
        <v>930</v>
      </c>
      <c r="F886" s="5" t="s">
        <v>1056</v>
      </c>
      <c r="G886" s="5" t="s">
        <v>1052</v>
      </c>
    </row>
    <row r="887" customFormat="false" ht="15" hidden="false" customHeight="false" outlineLevel="0" collapsed="false">
      <c r="A887" s="5" t="s">
        <v>100</v>
      </c>
      <c r="B887" s="5" t="s">
        <v>101</v>
      </c>
      <c r="C887" s="5" t="s">
        <v>913</v>
      </c>
      <c r="D887" s="5" t="s">
        <v>1009</v>
      </c>
      <c r="E887" s="5" t="s">
        <v>104</v>
      </c>
      <c r="F887" s="5" t="s">
        <v>1056</v>
      </c>
      <c r="G887" s="5" t="s">
        <v>1052</v>
      </c>
    </row>
    <row r="888" customFormat="false" ht="15" hidden="false" customHeight="false" outlineLevel="0" collapsed="false">
      <c r="A888" s="5" t="s">
        <v>100</v>
      </c>
      <c r="B888" s="5" t="s">
        <v>101</v>
      </c>
      <c r="C888" s="5" t="s">
        <v>914</v>
      </c>
      <c r="D888" s="5" t="s">
        <v>1009</v>
      </c>
      <c r="E888" s="5" t="s">
        <v>924</v>
      </c>
      <c r="F888" s="5" t="s">
        <v>1056</v>
      </c>
      <c r="G888" s="5" t="s">
        <v>1052</v>
      </c>
    </row>
    <row r="889" customFormat="false" ht="15" hidden="false" customHeight="false" outlineLevel="0" collapsed="false">
      <c r="A889" s="5" t="s">
        <v>100</v>
      </c>
      <c r="B889" s="5" t="s">
        <v>101</v>
      </c>
      <c r="C889" s="5" t="s">
        <v>915</v>
      </c>
      <c r="D889" s="5" t="s">
        <v>1009</v>
      </c>
      <c r="E889" s="5" t="s">
        <v>926</v>
      </c>
      <c r="F889" s="5" t="s">
        <v>1056</v>
      </c>
      <c r="G889" s="5" t="s">
        <v>1052</v>
      </c>
    </row>
    <row r="890" customFormat="false" ht="15" hidden="false" customHeight="false" outlineLevel="0" collapsed="false">
      <c r="A890" s="5" t="s">
        <v>100</v>
      </c>
      <c r="B890" s="5" t="s">
        <v>101</v>
      </c>
      <c r="C890" s="5" t="s">
        <v>916</v>
      </c>
      <c r="D890" s="5" t="s">
        <v>1009</v>
      </c>
      <c r="E890" s="5" t="s">
        <v>928</v>
      </c>
      <c r="F890" s="5" t="s">
        <v>1056</v>
      </c>
      <c r="G890" s="5" t="s">
        <v>1052</v>
      </c>
    </row>
    <row r="891" customFormat="false" ht="15" hidden="false" customHeight="false" outlineLevel="0" collapsed="false">
      <c r="A891" s="5" t="s">
        <v>100</v>
      </c>
      <c r="B891" s="5" t="s">
        <v>101</v>
      </c>
      <c r="C891" s="5" t="s">
        <v>917</v>
      </c>
      <c r="D891" s="5" t="s">
        <v>1009</v>
      </c>
      <c r="E891" s="5" t="s">
        <v>930</v>
      </c>
      <c r="F891" s="5" t="s">
        <v>1056</v>
      </c>
      <c r="G891" s="5" t="s">
        <v>1052</v>
      </c>
    </row>
    <row r="892" customFormat="false" ht="15" hidden="false" customHeight="false" outlineLevel="0" collapsed="false">
      <c r="A892" s="5" t="s">
        <v>100</v>
      </c>
      <c r="B892" s="5" t="s">
        <v>101</v>
      </c>
      <c r="C892" s="5" t="s">
        <v>1010</v>
      </c>
      <c r="D892" s="5" t="s">
        <v>1011</v>
      </c>
      <c r="E892" s="5" t="s">
        <v>104</v>
      </c>
      <c r="F892" s="5" t="s">
        <v>1056</v>
      </c>
      <c r="G892" s="5" t="s">
        <v>1052</v>
      </c>
    </row>
    <row r="893" customFormat="false" ht="15" hidden="false" customHeight="false" outlineLevel="0" collapsed="false">
      <c r="A893" s="5" t="s">
        <v>100</v>
      </c>
      <c r="B893" s="5" t="s">
        <v>101</v>
      </c>
      <c r="C893" s="5" t="s">
        <v>1012</v>
      </c>
      <c r="D893" s="5" t="s">
        <v>1011</v>
      </c>
      <c r="E893" s="5" t="s">
        <v>924</v>
      </c>
      <c r="F893" s="5" t="s">
        <v>1056</v>
      </c>
      <c r="G893" s="5" t="s">
        <v>1052</v>
      </c>
    </row>
    <row r="894" customFormat="false" ht="15" hidden="false" customHeight="false" outlineLevel="0" collapsed="false">
      <c r="A894" s="5" t="s">
        <v>100</v>
      </c>
      <c r="B894" s="5" t="s">
        <v>101</v>
      </c>
      <c r="C894" s="5" t="s">
        <v>1013</v>
      </c>
      <c r="D894" s="5" t="s">
        <v>1011</v>
      </c>
      <c r="E894" s="5" t="s">
        <v>926</v>
      </c>
      <c r="F894" s="5" t="s">
        <v>1056</v>
      </c>
      <c r="G894" s="5" t="s">
        <v>1052</v>
      </c>
    </row>
    <row r="895" customFormat="false" ht="15" hidden="false" customHeight="false" outlineLevel="0" collapsed="false">
      <c r="A895" s="5" t="s">
        <v>100</v>
      </c>
      <c r="B895" s="5" t="s">
        <v>101</v>
      </c>
      <c r="C895" s="5" t="s">
        <v>1014</v>
      </c>
      <c r="D895" s="5" t="s">
        <v>1011</v>
      </c>
      <c r="E895" s="5" t="s">
        <v>928</v>
      </c>
      <c r="F895" s="5" t="s">
        <v>1056</v>
      </c>
      <c r="G895" s="5" t="s">
        <v>1052</v>
      </c>
    </row>
    <row r="896" customFormat="false" ht="15" hidden="false" customHeight="false" outlineLevel="0" collapsed="false">
      <c r="A896" s="5" t="s">
        <v>100</v>
      </c>
      <c r="B896" s="5" t="s">
        <v>101</v>
      </c>
      <c r="C896" s="5" t="s">
        <v>1015</v>
      </c>
      <c r="D896" s="5" t="s">
        <v>1011</v>
      </c>
      <c r="E896" s="5" t="s">
        <v>930</v>
      </c>
      <c r="F896" s="5" t="s">
        <v>1056</v>
      </c>
      <c r="G896" s="5" t="s">
        <v>1052</v>
      </c>
    </row>
    <row r="897" customFormat="false" ht="15" hidden="false" customHeight="false" outlineLevel="0" collapsed="false">
      <c r="A897" s="5" t="s">
        <v>100</v>
      </c>
      <c r="B897" s="5" t="s">
        <v>101</v>
      </c>
      <c r="C897" s="5" t="s">
        <v>1016</v>
      </c>
      <c r="D897" s="5" t="s">
        <v>1017</v>
      </c>
      <c r="E897" s="5" t="s">
        <v>104</v>
      </c>
      <c r="F897" s="5" t="s">
        <v>1056</v>
      </c>
      <c r="G897" s="5" t="s">
        <v>1052</v>
      </c>
    </row>
    <row r="898" customFormat="false" ht="15" hidden="false" customHeight="false" outlineLevel="0" collapsed="false">
      <c r="A898" s="5" t="s">
        <v>100</v>
      </c>
      <c r="B898" s="5" t="s">
        <v>101</v>
      </c>
      <c r="C898" s="5" t="s">
        <v>1018</v>
      </c>
      <c r="D898" s="5" t="s">
        <v>1017</v>
      </c>
      <c r="E898" s="5" t="s">
        <v>924</v>
      </c>
      <c r="F898" s="5" t="s">
        <v>1056</v>
      </c>
      <c r="G898" s="5" t="s">
        <v>1052</v>
      </c>
    </row>
    <row r="899" customFormat="false" ht="15" hidden="false" customHeight="false" outlineLevel="0" collapsed="false">
      <c r="A899" s="5" t="s">
        <v>100</v>
      </c>
      <c r="B899" s="5" t="s">
        <v>101</v>
      </c>
      <c r="C899" s="5" t="s">
        <v>1019</v>
      </c>
      <c r="D899" s="5" t="s">
        <v>1017</v>
      </c>
      <c r="E899" s="5" t="s">
        <v>926</v>
      </c>
      <c r="F899" s="5" t="s">
        <v>1056</v>
      </c>
      <c r="G899" s="5" t="s">
        <v>1052</v>
      </c>
    </row>
    <row r="900" customFormat="false" ht="15" hidden="false" customHeight="false" outlineLevel="0" collapsed="false">
      <c r="A900" s="5" t="s">
        <v>100</v>
      </c>
      <c r="B900" s="5" t="s">
        <v>101</v>
      </c>
      <c r="C900" s="5" t="s">
        <v>1020</v>
      </c>
      <c r="D900" s="5" t="s">
        <v>1017</v>
      </c>
      <c r="E900" s="5" t="s">
        <v>928</v>
      </c>
      <c r="F900" s="5" t="s">
        <v>1056</v>
      </c>
      <c r="G900" s="5" t="s">
        <v>1052</v>
      </c>
    </row>
    <row r="901" customFormat="false" ht="15" hidden="false" customHeight="false" outlineLevel="0" collapsed="false">
      <c r="A901" s="5" t="s">
        <v>100</v>
      </c>
      <c r="B901" s="5" t="s">
        <v>101</v>
      </c>
      <c r="C901" s="5" t="s">
        <v>1021</v>
      </c>
      <c r="D901" s="5" t="s">
        <v>1017</v>
      </c>
      <c r="E901" s="5" t="s">
        <v>930</v>
      </c>
      <c r="F901" s="5" t="s">
        <v>1056</v>
      </c>
      <c r="G901" s="5" t="s">
        <v>1052</v>
      </c>
    </row>
    <row r="902" customFormat="false" ht="15" hidden="false" customHeight="false" outlineLevel="0" collapsed="false">
      <c r="A902" s="5" t="s">
        <v>100</v>
      </c>
      <c r="B902" s="5" t="s">
        <v>101</v>
      </c>
      <c r="C902" s="5" t="s">
        <v>1022</v>
      </c>
      <c r="D902" s="5" t="s">
        <v>1023</v>
      </c>
      <c r="E902" s="5" t="s">
        <v>104</v>
      </c>
      <c r="F902" s="5" t="s">
        <v>1056</v>
      </c>
      <c r="G902" s="5" t="s">
        <v>1052</v>
      </c>
    </row>
    <row r="903" customFormat="false" ht="15" hidden="false" customHeight="false" outlineLevel="0" collapsed="false">
      <c r="A903" s="5" t="s">
        <v>100</v>
      </c>
      <c r="B903" s="5" t="s">
        <v>101</v>
      </c>
      <c r="C903" s="5" t="s">
        <v>1024</v>
      </c>
      <c r="D903" s="5" t="s">
        <v>1023</v>
      </c>
      <c r="E903" s="5" t="s">
        <v>924</v>
      </c>
      <c r="F903" s="5" t="s">
        <v>1056</v>
      </c>
      <c r="G903" s="5" t="s">
        <v>1052</v>
      </c>
    </row>
    <row r="904" customFormat="false" ht="15" hidden="false" customHeight="false" outlineLevel="0" collapsed="false">
      <c r="A904" s="5" t="s">
        <v>100</v>
      </c>
      <c r="B904" s="5" t="s">
        <v>101</v>
      </c>
      <c r="C904" s="5" t="s">
        <v>1025</v>
      </c>
      <c r="D904" s="5" t="s">
        <v>1023</v>
      </c>
      <c r="E904" s="5" t="s">
        <v>926</v>
      </c>
      <c r="F904" s="5" t="s">
        <v>1056</v>
      </c>
      <c r="G904" s="5" t="s">
        <v>1052</v>
      </c>
    </row>
    <row r="905" customFormat="false" ht="15" hidden="false" customHeight="false" outlineLevel="0" collapsed="false">
      <c r="A905" s="5" t="s">
        <v>100</v>
      </c>
      <c r="B905" s="5" t="s">
        <v>101</v>
      </c>
      <c r="C905" s="5" t="s">
        <v>1026</v>
      </c>
      <c r="D905" s="5" t="s">
        <v>1023</v>
      </c>
      <c r="E905" s="5" t="s">
        <v>928</v>
      </c>
      <c r="F905" s="5" t="s">
        <v>1056</v>
      </c>
      <c r="G905" s="5" t="s">
        <v>1052</v>
      </c>
    </row>
    <row r="906" customFormat="false" ht="15" hidden="false" customHeight="false" outlineLevel="0" collapsed="false">
      <c r="A906" s="5" t="s">
        <v>100</v>
      </c>
      <c r="B906" s="5" t="s">
        <v>101</v>
      </c>
      <c r="C906" s="5" t="s">
        <v>1027</v>
      </c>
      <c r="D906" s="5" t="s">
        <v>1023</v>
      </c>
      <c r="E906" s="5" t="s">
        <v>930</v>
      </c>
      <c r="F906" s="5" t="s">
        <v>1056</v>
      </c>
      <c r="G906" s="5" t="s">
        <v>1052</v>
      </c>
    </row>
    <row r="907" customFormat="false" ht="15" hidden="false" customHeight="false" outlineLevel="0" collapsed="false">
      <c r="A907" s="5" t="s">
        <v>100</v>
      </c>
      <c r="B907" s="5" t="s">
        <v>101</v>
      </c>
      <c r="C907" s="5" t="s">
        <v>1028</v>
      </c>
      <c r="D907" s="5" t="s">
        <v>1029</v>
      </c>
      <c r="E907" s="5" t="s">
        <v>104</v>
      </c>
      <c r="F907" s="5" t="s">
        <v>1056</v>
      </c>
      <c r="G907" s="5" t="s">
        <v>1052</v>
      </c>
    </row>
    <row r="908" customFormat="false" ht="15" hidden="false" customHeight="false" outlineLevel="0" collapsed="false">
      <c r="A908" s="5" t="s">
        <v>100</v>
      </c>
      <c r="B908" s="5" t="s">
        <v>101</v>
      </c>
      <c r="C908" s="5" t="s">
        <v>1030</v>
      </c>
      <c r="D908" s="5" t="s">
        <v>1029</v>
      </c>
      <c r="E908" s="5" t="s">
        <v>924</v>
      </c>
      <c r="F908" s="5" t="s">
        <v>1056</v>
      </c>
      <c r="G908" s="5" t="s">
        <v>1052</v>
      </c>
    </row>
    <row r="909" customFormat="false" ht="15" hidden="false" customHeight="false" outlineLevel="0" collapsed="false">
      <c r="A909" s="5" t="s">
        <v>100</v>
      </c>
      <c r="B909" s="5" t="s">
        <v>101</v>
      </c>
      <c r="C909" s="5" t="s">
        <v>1031</v>
      </c>
      <c r="D909" s="5" t="s">
        <v>1029</v>
      </c>
      <c r="E909" s="5" t="s">
        <v>926</v>
      </c>
      <c r="F909" s="5" t="s">
        <v>1056</v>
      </c>
      <c r="G909" s="5" t="s">
        <v>1052</v>
      </c>
    </row>
    <row r="910" customFormat="false" ht="15" hidden="false" customHeight="false" outlineLevel="0" collapsed="false">
      <c r="A910" s="5" t="s">
        <v>100</v>
      </c>
      <c r="B910" s="5" t="s">
        <v>101</v>
      </c>
      <c r="C910" s="5" t="s">
        <v>1032</v>
      </c>
      <c r="D910" s="5" t="s">
        <v>1029</v>
      </c>
      <c r="E910" s="5" t="s">
        <v>928</v>
      </c>
      <c r="F910" s="5" t="s">
        <v>1056</v>
      </c>
      <c r="G910" s="5" t="s">
        <v>1052</v>
      </c>
    </row>
    <row r="911" customFormat="false" ht="15" hidden="false" customHeight="false" outlineLevel="0" collapsed="false">
      <c r="A911" s="5" t="s">
        <v>100</v>
      </c>
      <c r="B911" s="5" t="s">
        <v>101</v>
      </c>
      <c r="C911" s="5" t="s">
        <v>1033</v>
      </c>
      <c r="D911" s="5" t="s">
        <v>1029</v>
      </c>
      <c r="E911" s="5" t="s">
        <v>930</v>
      </c>
      <c r="F911" s="5" t="s">
        <v>1056</v>
      </c>
      <c r="G911" s="5" t="s">
        <v>1052</v>
      </c>
    </row>
    <row r="912" customFormat="false" ht="15" hidden="false" customHeight="false" outlineLevel="0" collapsed="false">
      <c r="A912" s="5" t="s">
        <v>100</v>
      </c>
      <c r="B912" s="5" t="s">
        <v>101</v>
      </c>
      <c r="C912" s="5" t="s">
        <v>1034</v>
      </c>
      <c r="D912" s="5" t="s">
        <v>1035</v>
      </c>
      <c r="E912" s="5" t="s">
        <v>104</v>
      </c>
      <c r="F912" s="5" t="s">
        <v>1056</v>
      </c>
      <c r="G912" s="5" t="s">
        <v>1052</v>
      </c>
    </row>
    <row r="913" customFormat="false" ht="15" hidden="false" customHeight="false" outlineLevel="0" collapsed="false">
      <c r="A913" s="5" t="s">
        <v>100</v>
      </c>
      <c r="B913" s="5" t="s">
        <v>101</v>
      </c>
      <c r="C913" s="5" t="s">
        <v>1036</v>
      </c>
      <c r="D913" s="5" t="s">
        <v>1035</v>
      </c>
      <c r="E913" s="5" t="s">
        <v>924</v>
      </c>
      <c r="F913" s="5" t="s">
        <v>1056</v>
      </c>
      <c r="G913" s="5" t="s">
        <v>1052</v>
      </c>
    </row>
    <row r="914" customFormat="false" ht="15" hidden="false" customHeight="false" outlineLevel="0" collapsed="false">
      <c r="A914" s="5" t="s">
        <v>100</v>
      </c>
      <c r="B914" s="5" t="s">
        <v>101</v>
      </c>
      <c r="C914" s="5" t="s">
        <v>1037</v>
      </c>
      <c r="D914" s="5" t="s">
        <v>1035</v>
      </c>
      <c r="E914" s="5" t="s">
        <v>926</v>
      </c>
      <c r="F914" s="5" t="s">
        <v>1056</v>
      </c>
      <c r="G914" s="5" t="s">
        <v>1052</v>
      </c>
    </row>
    <row r="915" customFormat="false" ht="15" hidden="false" customHeight="false" outlineLevel="0" collapsed="false">
      <c r="A915" s="5" t="s">
        <v>100</v>
      </c>
      <c r="B915" s="5" t="s">
        <v>101</v>
      </c>
      <c r="C915" s="5" t="s">
        <v>1038</v>
      </c>
      <c r="D915" s="5" t="s">
        <v>1035</v>
      </c>
      <c r="E915" s="5" t="s">
        <v>928</v>
      </c>
      <c r="F915" s="5" t="s">
        <v>1056</v>
      </c>
      <c r="G915" s="5" t="s">
        <v>1052</v>
      </c>
    </row>
    <row r="916" customFormat="false" ht="15" hidden="false" customHeight="false" outlineLevel="0" collapsed="false">
      <c r="A916" s="5" t="s">
        <v>100</v>
      </c>
      <c r="B916" s="5" t="s">
        <v>101</v>
      </c>
      <c r="C916" s="5" t="s">
        <v>1039</v>
      </c>
      <c r="D916" s="5" t="s">
        <v>1035</v>
      </c>
      <c r="E916" s="5" t="s">
        <v>930</v>
      </c>
      <c r="F916" s="5" t="s">
        <v>1056</v>
      </c>
      <c r="G916" s="5" t="s">
        <v>1052</v>
      </c>
    </row>
    <row r="917" customFormat="false" ht="15" hidden="false" customHeight="false" outlineLevel="0" collapsed="false">
      <c r="A917" s="5" t="s">
        <v>100</v>
      </c>
      <c r="B917" s="5" t="s">
        <v>101</v>
      </c>
      <c r="C917" s="5" t="s">
        <v>1040</v>
      </c>
      <c r="D917" s="5" t="s">
        <v>1041</v>
      </c>
      <c r="E917" s="5" t="s">
        <v>104</v>
      </c>
      <c r="F917" s="5" t="s">
        <v>1056</v>
      </c>
      <c r="G917" s="5" t="s">
        <v>1052</v>
      </c>
    </row>
    <row r="918" customFormat="false" ht="15" hidden="false" customHeight="false" outlineLevel="0" collapsed="false">
      <c r="A918" s="5" t="s">
        <v>100</v>
      </c>
      <c r="B918" s="5" t="s">
        <v>101</v>
      </c>
      <c r="C918" s="5" t="s">
        <v>1042</v>
      </c>
      <c r="D918" s="5" t="s">
        <v>1041</v>
      </c>
      <c r="E918" s="5" t="s">
        <v>924</v>
      </c>
      <c r="F918" s="5" t="s">
        <v>1056</v>
      </c>
      <c r="G918" s="5" t="s">
        <v>1052</v>
      </c>
    </row>
    <row r="919" customFormat="false" ht="15" hidden="false" customHeight="false" outlineLevel="0" collapsed="false">
      <c r="A919" s="5" t="s">
        <v>100</v>
      </c>
      <c r="B919" s="5" t="s">
        <v>101</v>
      </c>
      <c r="C919" s="5" t="s">
        <v>1043</v>
      </c>
      <c r="D919" s="5" t="s">
        <v>1041</v>
      </c>
      <c r="E919" s="5" t="s">
        <v>926</v>
      </c>
      <c r="F919" s="5" t="s">
        <v>1056</v>
      </c>
      <c r="G919" s="5" t="s">
        <v>1052</v>
      </c>
    </row>
    <row r="920" customFormat="false" ht="15" hidden="false" customHeight="false" outlineLevel="0" collapsed="false">
      <c r="A920" s="5" t="s">
        <v>100</v>
      </c>
      <c r="B920" s="5" t="s">
        <v>101</v>
      </c>
      <c r="C920" s="5" t="s">
        <v>1044</v>
      </c>
      <c r="D920" s="5" t="s">
        <v>1041</v>
      </c>
      <c r="E920" s="5" t="s">
        <v>928</v>
      </c>
      <c r="F920" s="5" t="s">
        <v>1056</v>
      </c>
      <c r="G920" s="5" t="s">
        <v>1052</v>
      </c>
    </row>
    <row r="921" customFormat="false" ht="15" hidden="false" customHeight="false" outlineLevel="0" collapsed="false">
      <c r="A921" s="5" t="s">
        <v>100</v>
      </c>
      <c r="B921" s="5" t="s">
        <v>101</v>
      </c>
      <c r="C921" s="5" t="s">
        <v>1045</v>
      </c>
      <c r="D921" s="5" t="s">
        <v>1041</v>
      </c>
      <c r="E921" s="5" t="s">
        <v>930</v>
      </c>
      <c r="F921" s="5" t="s">
        <v>1056</v>
      </c>
      <c r="G921" s="5" t="s">
        <v>1052</v>
      </c>
    </row>
  </sheetData>
  <autoFilter ref="A1:G921"/>
  <dataValidations count="1">
    <dataValidation allowBlank="true" errorStyle="stop" operator="between" showDropDown="false" showErrorMessage="false" showInputMessage="false" sqref="G2:G921" type="list">
      <formula1>"Pendiente,Validada,Corregir"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2026-10-02T11:55:17Z</dcterms:created>
  <dc:creator>openpyxl</dc:creator>
  <dc:description/>
  <dc:language>en-US</dc:language>
  <cp:lastModifiedBy/>
  <dcterms:modified xsi:type="dcterms:W3CDTF">2026-10-02T11:55:17Z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